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ompetitor Analsyis_Ratios" sheetId="1" state="visible" r:id="rId3"/>
    <sheet name="Phase 1_Balance sheet" sheetId="2" state="visible" r:id="rId4"/>
    <sheet name="Phase 1_Income Statement" sheetId="3" state="visible" r:id="rId5"/>
    <sheet name="Berger Paints_Ratios" sheetId="4" state="visible" r:id="rId6"/>
    <sheet name="Kansai Nerolac_Ratios" sheetId="5" state="visible" r:id="rId7"/>
    <sheet name="Asian Paints_Ratios" sheetId="6" state="visible" r:id="rId8"/>
    <sheet name="Phase 2_Ratio Analysis &amp; Trend" sheetId="7" state="visible" r:id="rId9"/>
    <sheet name="Phase 1_Cash Flo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<sst xmlns="http://schemas.openxmlformats.org/spreadsheetml/2006/main" count="165" uniqueCount="64">
  <si>
    <t xml:space="preserve">PAT (10-yr avg)</t>
  </si>
  <si>
    <t xml:space="preserve">Shareholder's Equity</t>
  </si>
  <si>
    <t xml:space="preserve">ROE</t>
  </si>
  <si>
    <t xml:space="preserve">Sales</t>
  </si>
  <si>
    <t xml:space="preserve">Net profit margin</t>
  </si>
  <si>
    <t xml:space="preserve">Total borrowings(debt)</t>
  </si>
  <si>
    <t xml:space="preserve">Debt-to-Equity Ratio</t>
  </si>
  <si>
    <t xml:space="preserve">Debtor Days</t>
  </si>
  <si>
    <t xml:space="preserve">Revenue Growth</t>
  </si>
  <si>
    <t xml:space="preserve">Asian Paints</t>
  </si>
  <si>
    <t xml:space="preserve">BergerPaints</t>
  </si>
  <si>
    <t xml:space="preserve">Kansai Nerolac</t>
  </si>
  <si>
    <t xml:space="preserve">FY 2014</t>
  </si>
  <si>
    <t xml:space="preserve">FY 2015</t>
  </si>
  <si>
    <t xml:space="preserve">FY 2016</t>
  </si>
  <si>
    <t xml:space="preserve">FY 2017</t>
  </si>
  <si>
    <t xml:space="preserve">FY 2018</t>
  </si>
  <si>
    <t xml:space="preserve">FY 2019</t>
  </si>
  <si>
    <t xml:space="preserve">FY 2020</t>
  </si>
  <si>
    <t xml:space="preserve">FY 2021</t>
  </si>
  <si>
    <t xml:space="preserve">FY 2022</t>
  </si>
  <si>
    <t xml:space="preserve">FY 2023</t>
  </si>
  <si>
    <t xml:space="preserve">FY 2024</t>
  </si>
  <si>
    <t xml:space="preserve">Total Assets</t>
  </si>
  <si>
    <t xml:space="preserve">Total Liabilities</t>
  </si>
  <si>
    <t xml:space="preserve">Other Liabilities</t>
  </si>
  <si>
    <t xml:space="preserve">Borrowings</t>
  </si>
  <si>
    <t xml:space="preserve">Balance Check</t>
  </si>
  <si>
    <t xml:space="preserve">Revenue</t>
  </si>
  <si>
    <t xml:space="preserve">  (−) Material Cost</t>
  </si>
  <si>
    <t xml:space="preserve">Gross Profit</t>
  </si>
  <si>
    <t xml:space="preserve">  (−) Other Operating Expense</t>
  </si>
  <si>
    <t xml:space="preserve">EBITDA</t>
  </si>
  <si>
    <t xml:space="preserve">  (−) Depreciation</t>
  </si>
  <si>
    <t xml:space="preserve">EBIT</t>
  </si>
  <si>
    <t xml:space="preserve">  (−) Interest</t>
  </si>
  <si>
    <t xml:space="preserve">PBT</t>
  </si>
  <si>
    <t xml:space="preserve">  (−) Tax</t>
  </si>
  <si>
    <t xml:space="preserve">PAT</t>
  </si>
  <si>
    <t xml:space="preserve">Average</t>
  </si>
  <si>
    <t xml:space="preserve">Shareholder's  Equity</t>
  </si>
  <si>
    <t xml:space="preserve">Debt-to-Equity ratio</t>
  </si>
  <si>
    <t xml:space="preserve">Shareholder's equity</t>
  </si>
  <si>
    <t xml:space="preserve">Debt-to-equity ratio</t>
  </si>
  <si>
    <t xml:space="preserve">Debtor's Days</t>
  </si>
  <si>
    <t xml:space="preserve">Interest</t>
  </si>
  <si>
    <t xml:space="preserve">ROA</t>
  </si>
  <si>
    <t xml:space="preserve">ROCE</t>
  </si>
  <si>
    <t xml:space="preserve">Total Borrowings</t>
  </si>
  <si>
    <t xml:space="preserve">Interest Coverage</t>
  </si>
  <si>
    <t xml:space="preserve">Operating Margin</t>
  </si>
  <si>
    <t xml:space="preserve">Net Profit Margin</t>
  </si>
  <si>
    <t xml:space="preserve">Trade Receivables</t>
  </si>
  <si>
    <t xml:space="preserve">Trade Payables</t>
  </si>
  <si>
    <t xml:space="preserve">Inventory</t>
  </si>
  <si>
    <t xml:space="preserve">Material Costs</t>
  </si>
  <si>
    <t xml:space="preserve">Inventory Days</t>
  </si>
  <si>
    <t xml:space="preserve">Days Payable</t>
  </si>
  <si>
    <t xml:space="preserve">Toral Borrowings</t>
  </si>
  <si>
    <t xml:space="preserve">Debt-to- Equity</t>
  </si>
  <si>
    <t xml:space="preserve">Formula used : ROE  = PAT ÷ Shareholders’ Equity × 100
  ROA  = PAT ÷ Total Assets × 100
  ROCE = EBIT ÷ (Total Assets − Other Liabilities) × 100</t>
  </si>
  <si>
    <t xml:space="preserve">Cash from Operating Activities</t>
  </si>
  <si>
    <t xml:space="preserve">Cash from Investing Activities</t>
  </si>
  <si>
    <t xml:space="preserve">Cash from Financing Activities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</si>
</sst>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"/>
    <numFmt numFmtId="167" formatCode="#,##0;\(#,##0\);\-"/>
    <numFmt numFmtId="168" formatCode="General"/>
    <numFmt numFmtId="169" formatCode="#,##0"/>
    <numFmt numFmtId="170" formatCode="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1A1A1A"/>
      <name val="Arial"/>
      <family val="2"/>
      <charset val="1"/>
    </font>
    <font>
      <sz val="10"/>
      <color rgb="FF1A1A1A"/>
      <name val="Arial"/>
      <family val="2"/>
      <charset val="1"/>
    </font>
    <font>
      <b val="true"/>
      <sz val="10"/>
      <color rgb="FF1D6A45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theme="5"/>
        <bgColor rgb="FFFF8080"/>
      </patternFill>
    </fill>
    <fill>
      <patternFill patternType="solid">
        <fgColor rgb="FF1D6A45"/>
        <bgColor rgb="FF008080"/>
      </patternFill>
    </fill>
    <fill>
      <patternFill patternType="solid">
        <fgColor rgb="FFE8F3EE"/>
        <bgColor rgb="FFFFF3F3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theme="4" tint="-0.25"/>
        <bgColor rgb="FF0066CC"/>
      </patternFill>
    </fill>
    <fill>
      <patternFill patternType="solid">
        <fgColor theme="7" tint="0.3999"/>
        <bgColor rgb="FFFFFF99"/>
      </patternFill>
    </fill>
    <fill>
      <patternFill patternType="solid">
        <fgColor rgb="FFFFF3F3"/>
        <bgColor rgb="FFFFFD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1D6A45"/>
      </left>
      <right style="thin">
        <color rgb="FF1D6A45"/>
      </right>
      <top style="thin">
        <color rgb="FF1D6A45"/>
      </top>
      <bottom style="thin">
        <color rgb="FF1D6A45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A45"/>
      <rgbColor rgb="FFCCCCCC"/>
      <rgbColor rgb="FF808080"/>
      <rgbColor rgb="FF5B9BD5"/>
      <rgbColor rgb="FF993366"/>
      <rgbColor rgb="FFFFFDE7"/>
      <rgbColor rgb="FFE8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15.71"/>
    <col collapsed="false" customWidth="true" hidden="false" outlineLevel="0" max="3" min="3" style="0" width="19"/>
    <col collapsed="false" customWidth="true" hidden="false" outlineLevel="0" max="6" min="6" style="0" width="16.29"/>
    <col collapsed="false" customWidth="true" hidden="false" outlineLevel="0" max="7" min="7" style="0" width="22"/>
    <col collapsed="false" customWidth="true" hidden="false" outlineLevel="0" max="8" min="8" style="0" width="20.57"/>
    <col collapsed="false" customWidth="true" hidden="false" outlineLevel="0" max="9" min="9" style="0" width="13.42"/>
    <col collapsed="false" customWidth="true" hidden="false" outlineLevel="0" max="10" min="10" style="0" width="15.57"/>
  </cols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customFormat="false" ht="15" hidden="false" customHeight="false" outlineLevel="0" collapsed="false">
      <c r="A2" s="3" t="s">
        <v>9</v>
      </c>
      <c r="B2" s="1" t="n">
        <f aca="false">AVERAGE('Asian Paints_Ratios'!B2:K2)</f>
        <v>2837.1</v>
      </c>
      <c r="C2" s="1" t="n">
        <v>10822</v>
      </c>
      <c r="D2" s="4" t="n">
        <f aca="false">AVERAGE('Asian Paints_Ratios'!B9:K9)</f>
        <v>26.3168850374553</v>
      </c>
      <c r="E2" s="1" t="n">
        <v>21992</v>
      </c>
      <c r="F2" s="5" t="n">
        <v>13</v>
      </c>
      <c r="G2" s="1" t="n">
        <v>1135</v>
      </c>
      <c r="H2" s="1" t="n">
        <v>0.1</v>
      </c>
      <c r="I2" s="1" t="n">
        <v>39</v>
      </c>
      <c r="J2" s="5" t="n">
        <v>0.12</v>
      </c>
    </row>
    <row r="3" customFormat="false" ht="15" hidden="false" customHeight="false" outlineLevel="0" collapsed="false">
      <c r="A3" s="3" t="s">
        <v>10</v>
      </c>
      <c r="B3" s="5" t="n">
        <f aca="false">'Berger Paints_Ratios'!L2</f>
        <v>630.4</v>
      </c>
      <c r="C3" s="1" t="n">
        <v>2919</v>
      </c>
      <c r="D3" s="4" t="n">
        <f aca="false">'Berger Paints_Ratios'!L4</f>
        <v>21.5119489896848</v>
      </c>
      <c r="E3" s="1" t="n">
        <v>6788</v>
      </c>
      <c r="F3" s="5" t="n">
        <v>9</v>
      </c>
      <c r="G3" s="1" t="n">
        <v>473</v>
      </c>
      <c r="H3" s="1" t="n">
        <v>0.2</v>
      </c>
      <c r="I3" s="1" t="n">
        <v>45</v>
      </c>
      <c r="J3" s="5" t="n">
        <v>0.12</v>
      </c>
    </row>
    <row r="4" customFormat="false" ht="15" hidden="false" customHeight="false" outlineLevel="0" collapsed="false">
      <c r="A4" s="3" t="s">
        <v>11</v>
      </c>
      <c r="B4" s="5" t="n">
        <f aca="false">'Kansai Nerolac_Ratios'!L2</f>
        <v>627.3</v>
      </c>
      <c r="C4" s="1" t="n">
        <v>3553</v>
      </c>
      <c r="D4" s="4" t="n">
        <f aca="false">'Kansai Nerolac_Ratios'!L4</f>
        <v>16.9164697241052</v>
      </c>
      <c r="E4" s="1" t="n">
        <v>5347</v>
      </c>
      <c r="F4" s="5" t="n">
        <v>11</v>
      </c>
      <c r="G4" s="1" t="n">
        <v>105</v>
      </c>
      <c r="H4" s="1" t="n">
        <v>0.03</v>
      </c>
      <c r="I4" s="1" t="n">
        <v>57</v>
      </c>
      <c r="J4" s="5" t="n">
        <v>0.1</v>
      </c>
    </row>
    <row r="10" customFormat="false" ht="15" hidden="false" customHeight="false" outlineLevel="0" collapsed="false">
      <c r="G1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86"/>
  </cols>
  <sheetData>
    <row r="1" customFormat="false" ht="15" hidden="false" customHeight="false" outlineLevel="0" collapsed="false">
      <c r="A1" s="7"/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</row>
    <row r="2" customFormat="false" ht="15" hidden="false" customHeight="false" outlineLevel="0" collapsed="false">
      <c r="A2" s="9" t="s">
        <v>23</v>
      </c>
      <c r="B2" s="10" t="n">
        <v>8075</v>
      </c>
      <c r="C2" s="10" t="n">
        <v>8914</v>
      </c>
      <c r="D2" s="10" t="n">
        <v>10559</v>
      </c>
      <c r="E2" s="10" t="n">
        <v>12405</v>
      </c>
      <c r="F2" s="10" t="n">
        <v>13763</v>
      </c>
      <c r="G2" s="10" t="n">
        <v>16249</v>
      </c>
      <c r="H2" s="10" t="n">
        <v>16138</v>
      </c>
      <c r="I2" s="10" t="n">
        <v>20355</v>
      </c>
      <c r="J2" s="10" t="n">
        <v>22958</v>
      </c>
      <c r="K2" s="10" t="n">
        <v>25779</v>
      </c>
      <c r="L2" s="10" t="n">
        <v>29901</v>
      </c>
    </row>
    <row r="3" customFormat="false" ht="15" hidden="false" customHeight="false" outlineLevel="0" collapsed="false">
      <c r="A3" s="9" t="s">
        <v>24</v>
      </c>
      <c r="B3" s="10" t="n">
        <v>8075</v>
      </c>
      <c r="C3" s="10" t="n">
        <v>8914</v>
      </c>
      <c r="D3" s="10" t="n">
        <v>10559</v>
      </c>
      <c r="E3" s="10" t="n">
        <v>12405</v>
      </c>
      <c r="F3" s="10" t="n">
        <v>13763</v>
      </c>
      <c r="G3" s="10" t="n">
        <v>16249</v>
      </c>
      <c r="H3" s="10" t="n">
        <v>16138</v>
      </c>
      <c r="I3" s="10" t="n">
        <v>20355</v>
      </c>
      <c r="J3" s="10" t="n">
        <v>22958</v>
      </c>
      <c r="K3" s="10" t="n">
        <v>25779</v>
      </c>
      <c r="L3" s="10" t="n">
        <v>29901</v>
      </c>
    </row>
    <row r="4" customFormat="false" ht="15" hidden="false" customHeight="false" outlineLevel="0" collapsed="false">
      <c r="A4" s="11" t="s">
        <v>1</v>
      </c>
      <c r="B4" s="12" t="n">
        <f aca="false">(96+3943)</f>
        <v>4039</v>
      </c>
      <c r="C4" s="12" t="n">
        <f aca="false">(96+4646)</f>
        <v>4742</v>
      </c>
      <c r="D4" s="12" t="n">
        <f aca="false">(96+6429)</f>
        <v>6525</v>
      </c>
      <c r="E4" s="12" t="n">
        <f aca="false">(96+7508)</f>
        <v>7604</v>
      </c>
      <c r="F4" s="12" t="n">
        <f aca="false">(96+8314)</f>
        <v>8410</v>
      </c>
      <c r="G4" s="12" t="n">
        <f aca="false">(96+9374)</f>
        <v>9470</v>
      </c>
      <c r="H4" s="12" t="n">
        <f aca="false">(96+10035)</f>
        <v>10131</v>
      </c>
      <c r="I4" s="12" t="n">
        <f aca="false">(96+12710)</f>
        <v>12806</v>
      </c>
      <c r="J4" s="12" t="n">
        <f aca="false">(96+13715)</f>
        <v>13811</v>
      </c>
      <c r="K4" s="12" t="n">
        <f aca="false">(96+15896)</f>
        <v>15992</v>
      </c>
      <c r="L4" s="12" t="n">
        <f aca="false">(96+18633)</f>
        <v>18729</v>
      </c>
    </row>
    <row r="5" customFormat="false" ht="15" hidden="false" customHeight="false" outlineLevel="0" collapsed="false">
      <c r="A5" s="11" t="s">
        <v>25</v>
      </c>
      <c r="B5" s="13" t="n">
        <v>3787</v>
      </c>
      <c r="C5" s="13" t="n">
        <v>3754</v>
      </c>
      <c r="D5" s="13" t="n">
        <v>3711</v>
      </c>
      <c r="E5" s="13" t="n">
        <v>4241</v>
      </c>
      <c r="F5" s="13" t="n">
        <v>4820</v>
      </c>
      <c r="G5" s="13" t="n">
        <v>5459</v>
      </c>
      <c r="H5" s="13" t="n">
        <v>4889</v>
      </c>
      <c r="I5" s="13" t="n">
        <v>6456</v>
      </c>
      <c r="J5" s="13" t="n">
        <v>7560</v>
      </c>
      <c r="K5" s="13" t="n">
        <v>7854</v>
      </c>
      <c r="L5" s="13" t="n">
        <v>8698</v>
      </c>
    </row>
    <row r="6" customFormat="false" ht="15" hidden="false" customHeight="false" outlineLevel="0" collapsed="false">
      <c r="A6" s="11" t="s">
        <v>26</v>
      </c>
      <c r="B6" s="13" t="n">
        <v>249</v>
      </c>
      <c r="C6" s="13" t="n">
        <v>418</v>
      </c>
      <c r="D6" s="13" t="n">
        <v>323</v>
      </c>
      <c r="E6" s="13" t="n">
        <v>560</v>
      </c>
      <c r="F6" s="13" t="n">
        <v>533</v>
      </c>
      <c r="G6" s="13" t="n">
        <v>1320</v>
      </c>
      <c r="H6" s="13" t="n">
        <v>1118</v>
      </c>
      <c r="I6" s="13" t="n">
        <v>1093</v>
      </c>
      <c r="J6" s="13" t="n">
        <v>1587</v>
      </c>
      <c r="K6" s="13" t="n">
        <v>1933</v>
      </c>
      <c r="L6" s="13" t="n">
        <v>2474</v>
      </c>
    </row>
    <row r="7" customFormat="false" ht="15" hidden="false" customHeight="false" outlineLevel="0" collapsed="false">
      <c r="A7" s="14" t="s">
        <v>27</v>
      </c>
      <c r="B7" s="15" t="n">
        <f aca="false">B2-(B4+B6+B5)</f>
        <v>0</v>
      </c>
      <c r="C7" s="15" t="n">
        <f aca="false">C2-(C4+C6+C5)</f>
        <v>0</v>
      </c>
      <c r="D7" s="15" t="n">
        <f aca="false">D2-(D4+D6+D5)</f>
        <v>0</v>
      </c>
      <c r="E7" s="15" t="n">
        <f aca="false">E2-(E4+E6+E5)</f>
        <v>0</v>
      </c>
      <c r="F7" s="15" t="n">
        <f aca="false">F2-(F4+F6+F5)</f>
        <v>0</v>
      </c>
      <c r="G7" s="15" t="n">
        <f aca="false">G2-(G4+G6+G5)</f>
        <v>0</v>
      </c>
      <c r="H7" s="15" t="n">
        <f aca="false">H2-(H4+H6+H5)</f>
        <v>0</v>
      </c>
      <c r="I7" s="15" t="n">
        <f aca="false">I2-(I4+I6+I5)</f>
        <v>0</v>
      </c>
      <c r="J7" s="15" t="n">
        <f aca="false">J2-(J4+J6+J5)</f>
        <v>0</v>
      </c>
      <c r="K7" s="15" t="n">
        <f aca="false">K2-(K4+K6+K5)</f>
        <v>0</v>
      </c>
      <c r="L7" s="15" t="n">
        <f aca="false">L2-(L4+L6+L5)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6"/>
  </cols>
  <sheetData>
    <row r="1" customFormat="false" ht="15" hidden="false" customHeight="false" outlineLevel="0" collapsed="false">
      <c r="A1" s="7"/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</row>
    <row r="2" customFormat="false" ht="15" hidden="false" customHeight="false" outlineLevel="0" collapsed="false">
      <c r="A2" s="9" t="s">
        <v>28</v>
      </c>
      <c r="B2" s="10" t="n">
        <v>13615</v>
      </c>
      <c r="C2" s="10" t="n">
        <v>14271</v>
      </c>
      <c r="D2" s="10" t="n">
        <v>15062</v>
      </c>
      <c r="E2" s="10" t="n">
        <v>16825</v>
      </c>
      <c r="F2" s="10" t="n">
        <v>19240</v>
      </c>
      <c r="G2" s="10" t="n">
        <v>20211</v>
      </c>
      <c r="H2" s="10" t="n">
        <v>21713</v>
      </c>
      <c r="I2" s="10" t="n">
        <v>29101</v>
      </c>
      <c r="J2" s="10" t="n">
        <v>34389</v>
      </c>
      <c r="K2" s="10" t="n">
        <v>35495</v>
      </c>
    </row>
    <row r="3" customFormat="false" ht="15" hidden="false" customHeight="false" outlineLevel="0" collapsed="false">
      <c r="A3" s="11" t="s">
        <v>29</v>
      </c>
      <c r="B3" s="13" t="n">
        <v>6875</v>
      </c>
      <c r="C3" s="13" t="n">
        <v>6570</v>
      </c>
      <c r="D3" s="13" t="n">
        <v>7453</v>
      </c>
      <c r="E3" s="13" t="n">
        <v>8128</v>
      </c>
      <c r="F3" s="13" t="n">
        <v>9974</v>
      </c>
      <c r="G3" s="13" t="n">
        <v>9982</v>
      </c>
      <c r="H3" s="13" t="n">
        <v>10426</v>
      </c>
      <c r="I3" s="13" t="n">
        <v>17123</v>
      </c>
      <c r="J3" s="13" t="n">
        <v>18986</v>
      </c>
      <c r="K3" s="13" t="n">
        <v>17411</v>
      </c>
    </row>
    <row r="4" customFormat="false" ht="15" hidden="false" customHeight="false" outlineLevel="0" collapsed="false">
      <c r="A4" s="9" t="s">
        <v>30</v>
      </c>
      <c r="B4" s="16" t="n">
        <f aca="false">B2-B3</f>
        <v>6740</v>
      </c>
      <c r="C4" s="16" t="n">
        <f aca="false">C2-C3</f>
        <v>7701</v>
      </c>
      <c r="D4" s="16" t="n">
        <f aca="false">D2-D3</f>
        <v>7609</v>
      </c>
      <c r="E4" s="16" t="n">
        <f aca="false">E2-E3</f>
        <v>8697</v>
      </c>
      <c r="F4" s="16" t="n">
        <f aca="false">F2-F3</f>
        <v>9266</v>
      </c>
      <c r="G4" s="16" t="n">
        <f aca="false">G2-G3</f>
        <v>10229</v>
      </c>
      <c r="H4" s="16" t="n">
        <f aca="false">H2-H3</f>
        <v>11287</v>
      </c>
      <c r="I4" s="16" t="n">
        <f aca="false">I2-I3</f>
        <v>11978</v>
      </c>
      <c r="J4" s="16" t="n">
        <f aca="false">J2-J3</f>
        <v>15403</v>
      </c>
      <c r="K4" s="16" t="n">
        <f aca="false">K2-K3</f>
        <v>18084</v>
      </c>
    </row>
    <row r="5" customFormat="false" ht="15" hidden="false" customHeight="false" outlineLevel="0" collapsed="false">
      <c r="A5" s="11" t="s">
        <v>31</v>
      </c>
      <c r="B5" s="17" t="n">
        <f aca="false">B2-B3-B6</f>
        <v>4497</v>
      </c>
      <c r="C5" s="17" t="n">
        <f aca="false">C2-C3-C6</f>
        <v>4976</v>
      </c>
      <c r="D5" s="17" t="n">
        <f aca="false">D2-D3-D6</f>
        <v>4615</v>
      </c>
      <c r="E5" s="17" t="n">
        <f aca="false">E2-E3-E6</f>
        <v>5493</v>
      </c>
      <c r="F5" s="17" t="n">
        <f aca="false">F2-F3-F6</f>
        <v>5501</v>
      </c>
      <c r="G5" s="17" t="n">
        <f aca="false">G2-G3-G6</f>
        <v>6067</v>
      </c>
      <c r="H5" s="17" t="n">
        <f aca="false">H2-H3-H6</f>
        <v>6431</v>
      </c>
      <c r="I5" s="17" t="n">
        <f aca="false">I2-I3-I6</f>
        <v>7174</v>
      </c>
      <c r="J5" s="17" t="n">
        <f aca="false">J2-J3-J6</f>
        <v>9143</v>
      </c>
      <c r="K5" s="17" t="n">
        <f aca="false">K2-K3-K6</f>
        <v>10499</v>
      </c>
    </row>
    <row r="6" customFormat="false" ht="15" hidden="false" customHeight="false" outlineLevel="0" collapsed="false">
      <c r="A6" s="9" t="s">
        <v>32</v>
      </c>
      <c r="B6" s="10" t="n">
        <v>2243</v>
      </c>
      <c r="C6" s="10" t="n">
        <v>2725</v>
      </c>
      <c r="D6" s="10" t="n">
        <v>2994</v>
      </c>
      <c r="E6" s="10" t="n">
        <v>3204</v>
      </c>
      <c r="F6" s="10" t="n">
        <v>3765</v>
      </c>
      <c r="G6" s="10" t="n">
        <v>4162</v>
      </c>
      <c r="H6" s="10" t="n">
        <v>4856</v>
      </c>
      <c r="I6" s="10" t="n">
        <v>4804</v>
      </c>
      <c r="J6" s="10" t="n">
        <v>6260</v>
      </c>
      <c r="K6" s="10" t="n">
        <v>7585</v>
      </c>
    </row>
    <row r="7" customFormat="false" ht="15" hidden="false" customHeight="false" outlineLevel="0" collapsed="false">
      <c r="A7" s="11" t="s">
        <v>33</v>
      </c>
      <c r="B7" s="13" t="n">
        <v>266</v>
      </c>
      <c r="C7" s="13" t="n">
        <v>276</v>
      </c>
      <c r="D7" s="13" t="n">
        <v>335</v>
      </c>
      <c r="E7" s="13" t="n">
        <v>360</v>
      </c>
      <c r="F7" s="13" t="n">
        <v>622</v>
      </c>
      <c r="G7" s="13" t="n">
        <v>780</v>
      </c>
      <c r="H7" s="13" t="n">
        <v>791</v>
      </c>
      <c r="I7" s="13" t="n">
        <v>816</v>
      </c>
      <c r="J7" s="13" t="n">
        <v>858</v>
      </c>
      <c r="K7" s="13" t="n">
        <v>853</v>
      </c>
    </row>
    <row r="8" customFormat="false" ht="15" hidden="false" customHeight="false" outlineLevel="0" collapsed="false">
      <c r="A8" s="9" t="s">
        <v>34</v>
      </c>
      <c r="B8" s="16" t="n">
        <f aca="false">B6-B7</f>
        <v>1977</v>
      </c>
      <c r="C8" s="16" t="n">
        <f aca="false">C6-C7</f>
        <v>2449</v>
      </c>
      <c r="D8" s="16" t="n">
        <f aca="false">D6-D7</f>
        <v>2659</v>
      </c>
      <c r="E8" s="16" t="n">
        <f aca="false">E6-E7</f>
        <v>2844</v>
      </c>
      <c r="F8" s="16" t="n">
        <f aca="false">F6-F7</f>
        <v>3143</v>
      </c>
      <c r="G8" s="16" t="n">
        <f aca="false">G6-G7</f>
        <v>3382</v>
      </c>
      <c r="H8" s="16" t="n">
        <f aca="false">H6-H7</f>
        <v>4065</v>
      </c>
      <c r="I8" s="16" t="n">
        <f aca="false">I6-I7</f>
        <v>3988</v>
      </c>
      <c r="J8" s="16" t="n">
        <f aca="false">J6-J7</f>
        <v>5402</v>
      </c>
      <c r="K8" s="16" t="n">
        <f aca="false">K6-K7</f>
        <v>6732</v>
      </c>
    </row>
    <row r="9" customFormat="false" ht="15" hidden="false" customHeight="false" outlineLevel="0" collapsed="false">
      <c r="A9" s="11" t="s">
        <v>35</v>
      </c>
      <c r="B9" s="13" t="n">
        <v>42</v>
      </c>
      <c r="C9" s="13" t="n">
        <v>49</v>
      </c>
      <c r="D9" s="13" t="n">
        <v>37</v>
      </c>
      <c r="E9" s="13" t="n">
        <v>41</v>
      </c>
      <c r="F9" s="13" t="n">
        <v>110</v>
      </c>
      <c r="G9" s="13" t="n">
        <v>102</v>
      </c>
      <c r="H9" s="13" t="n">
        <v>92</v>
      </c>
      <c r="I9" s="13" t="n">
        <v>95</v>
      </c>
      <c r="J9" s="13" t="n">
        <v>144</v>
      </c>
      <c r="K9" s="13" t="n">
        <v>205</v>
      </c>
    </row>
    <row r="10" customFormat="false" ht="15" hidden="false" customHeight="false" outlineLevel="0" collapsed="false">
      <c r="A10" s="9" t="s">
        <v>36</v>
      </c>
      <c r="B10" s="16" t="n">
        <f aca="false">B8-B9</f>
        <v>1935</v>
      </c>
      <c r="C10" s="16" t="n">
        <f aca="false">C8-C9</f>
        <v>2400</v>
      </c>
      <c r="D10" s="16" t="n">
        <f aca="false">D8-D9</f>
        <v>2622</v>
      </c>
      <c r="E10" s="16" t="n">
        <f aca="false">E8-E9</f>
        <v>2803</v>
      </c>
      <c r="F10" s="16" t="n">
        <f aca="false">F8-F9</f>
        <v>3033</v>
      </c>
      <c r="G10" s="16" t="n">
        <f aca="false">G8-G9</f>
        <v>3280</v>
      </c>
      <c r="H10" s="16" t="n">
        <f aca="false">H8-H9</f>
        <v>3973</v>
      </c>
      <c r="I10" s="16" t="n">
        <f aca="false">I8-I9</f>
        <v>3893</v>
      </c>
      <c r="J10" s="16" t="n">
        <f aca="false">J8-J9</f>
        <v>5258</v>
      </c>
      <c r="K10" s="16" t="n">
        <f aca="false">K8-K9</f>
        <v>6527</v>
      </c>
    </row>
    <row r="11" customFormat="false" ht="15" hidden="false" customHeight="false" outlineLevel="0" collapsed="false">
      <c r="A11" s="11" t="s">
        <v>37</v>
      </c>
      <c r="B11" s="17" t="n">
        <f aca="false">B10-B12</f>
        <v>508</v>
      </c>
      <c r="C11" s="17" t="n">
        <f aca="false">C10-C12</f>
        <v>597</v>
      </c>
      <c r="D11" s="17" t="n">
        <f aca="false">D10-D12</f>
        <v>606</v>
      </c>
      <c r="E11" s="17" t="n">
        <f aca="false">E10-E12</f>
        <v>705</v>
      </c>
      <c r="F11" s="17" t="n">
        <f aca="false">F10-F12</f>
        <v>825</v>
      </c>
      <c r="G11" s="17" t="n">
        <f aca="false">G10-G12</f>
        <v>506</v>
      </c>
      <c r="H11" s="17" t="n">
        <f aca="false">H10-H12</f>
        <v>766</v>
      </c>
      <c r="I11" s="17" t="n">
        <f aca="false">I10-I12</f>
        <v>808</v>
      </c>
      <c r="J11" s="17" t="n">
        <f aca="false">J10-J12</f>
        <v>1063</v>
      </c>
      <c r="K11" s="17" t="n">
        <f aca="false">K10-K12</f>
        <v>969</v>
      </c>
    </row>
    <row r="12" customFormat="false" ht="15" hidden="false" customHeight="false" outlineLevel="0" collapsed="false">
      <c r="A12" s="18" t="s">
        <v>38</v>
      </c>
      <c r="B12" s="19" t="n">
        <v>1427</v>
      </c>
      <c r="C12" s="19" t="n">
        <v>1803</v>
      </c>
      <c r="D12" s="19" t="n">
        <v>2016</v>
      </c>
      <c r="E12" s="19" t="n">
        <v>2098</v>
      </c>
      <c r="F12" s="19" t="n">
        <v>2208</v>
      </c>
      <c r="G12" s="19" t="n">
        <v>2774</v>
      </c>
      <c r="H12" s="19" t="n">
        <v>3207</v>
      </c>
      <c r="I12" s="19" t="n">
        <v>3085</v>
      </c>
      <c r="J12" s="19" t="n">
        <v>4195</v>
      </c>
      <c r="K12" s="19" t="n">
        <v>5558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42"/>
  </cols>
  <sheetData>
    <row r="1" customFormat="false" ht="15" hidden="false" customHeight="false" outlineLevel="0" collapsed="false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0" t="s">
        <v>39</v>
      </c>
    </row>
    <row r="2" customFormat="false" ht="15" hidden="false" customHeight="false" outlineLevel="0" collapsed="false">
      <c r="A2" s="21" t="s">
        <v>38</v>
      </c>
      <c r="B2" s="1" t="n">
        <v>265</v>
      </c>
      <c r="C2" s="1" t="n">
        <v>371</v>
      </c>
      <c r="D2" s="1" t="n">
        <v>474</v>
      </c>
      <c r="E2" s="1" t="n">
        <v>461</v>
      </c>
      <c r="F2" s="1" t="n">
        <v>494</v>
      </c>
      <c r="G2" s="1" t="n">
        <v>656</v>
      </c>
      <c r="H2" s="1" t="n">
        <v>720</v>
      </c>
      <c r="I2" s="1" t="n">
        <v>833</v>
      </c>
      <c r="J2" s="1" t="n">
        <v>860</v>
      </c>
      <c r="K2" s="1" t="n">
        <v>1170</v>
      </c>
      <c r="L2" s="5" t="n">
        <f aca="false">AVERAGE(B2:K2)</f>
        <v>630.4</v>
      </c>
    </row>
    <row r="3" customFormat="false" ht="15" hidden="false" customHeight="false" outlineLevel="0" collapsed="false">
      <c r="A3" s="21" t="s">
        <v>40</v>
      </c>
      <c r="B3" s="1" t="n">
        <f aca="false">(69+1191)</f>
        <v>1260</v>
      </c>
      <c r="C3" s="1" t="n">
        <f aca="false">(69+1493)</f>
        <v>1562</v>
      </c>
      <c r="D3" s="1" t="n">
        <f aca="false">(97+1804)</f>
        <v>1901</v>
      </c>
      <c r="E3" s="1" t="n">
        <f aca="false">(98+2097)</f>
        <v>2195</v>
      </c>
      <c r="F3" s="1" t="n">
        <f aca="false">(97+2347)</f>
        <v>2444</v>
      </c>
      <c r="G3" s="1" t="n">
        <f aca="false">(91+2563)</f>
        <v>2654</v>
      </c>
      <c r="H3" s="1" t="n">
        <f aca="false">(97+3280)</f>
        <v>3377</v>
      </c>
      <c r="I3" s="1" t="n">
        <f aca="false">(97+3830)</f>
        <v>3927</v>
      </c>
      <c r="J3" s="1" t="n">
        <f aca="false">(97+4397)</f>
        <v>4494</v>
      </c>
      <c r="K3" s="1" t="n">
        <f aca="false">(117+5262)</f>
        <v>5379</v>
      </c>
      <c r="L3" s="5" t="n">
        <f aca="false">AVERAGE(B3:K3)</f>
        <v>2919.3</v>
      </c>
    </row>
    <row r="4" customFormat="false" ht="15" hidden="false" customHeight="false" outlineLevel="0" collapsed="false">
      <c r="A4" s="21" t="s">
        <v>2</v>
      </c>
      <c r="B4" s="1" t="n">
        <f aca="false">(B2/B3)*100</f>
        <v>21.031746031746</v>
      </c>
      <c r="C4" s="1" t="n">
        <f aca="false">(C2/C3)*100</f>
        <v>23.7516005121639</v>
      </c>
      <c r="D4" s="1" t="n">
        <f aca="false">(D2/D3)*100</f>
        <v>24.9342451341399</v>
      </c>
      <c r="E4" s="1" t="n">
        <f aca="false">(E2/E3)*100</f>
        <v>21.002277904328</v>
      </c>
      <c r="F4" s="1" t="n">
        <f aca="false">(F2/F3)*100</f>
        <v>20.2127659574468</v>
      </c>
      <c r="G4" s="1" t="n">
        <f aca="false">(G2/G3)*100</f>
        <v>24.7174076865109</v>
      </c>
      <c r="H4" s="1" t="n">
        <f aca="false">(H2/H3)*100</f>
        <v>21.3206988451288</v>
      </c>
      <c r="I4" s="1" t="n">
        <f aca="false">(I2/I3)*100</f>
        <v>21.2121212121212</v>
      </c>
      <c r="J4" s="1" t="n">
        <f aca="false">(J2/J3)*100</f>
        <v>19.1366266132621</v>
      </c>
      <c r="K4" s="1" t="n">
        <v>17.8</v>
      </c>
      <c r="L4" s="5" t="n">
        <f aca="false">AVERAGE(B4:K4)</f>
        <v>21.5119489896848</v>
      </c>
    </row>
    <row r="5" customFormat="false" ht="15" hidden="false" customHeight="false" outlineLevel="0" collapsed="false">
      <c r="A5" s="21" t="s">
        <v>3</v>
      </c>
      <c r="B5" s="1" t="n">
        <v>4170</v>
      </c>
      <c r="C5" s="1" t="n">
        <v>4223</v>
      </c>
      <c r="D5" s="1" t="n">
        <v>4552</v>
      </c>
      <c r="E5" s="1" t="n">
        <v>5166</v>
      </c>
      <c r="F5" s="1" t="n">
        <v>6062</v>
      </c>
      <c r="G5" s="1" t="n">
        <v>6366</v>
      </c>
      <c r="H5" s="1" t="n">
        <v>6818</v>
      </c>
      <c r="I5" s="1" t="n">
        <v>8762</v>
      </c>
      <c r="J5" s="1" t="n">
        <v>10568</v>
      </c>
      <c r="K5" s="1" t="n">
        <v>11199</v>
      </c>
      <c r="L5" s="5" t="n">
        <f aca="false">AVERAGE(B5:K5)</f>
        <v>6788.6</v>
      </c>
    </row>
    <row r="6" customFormat="false" ht="15" hidden="false" customHeight="false" outlineLevel="0" collapsed="false">
      <c r="A6" s="21" t="s">
        <v>4</v>
      </c>
      <c r="B6" s="5" t="n">
        <f aca="false">B2/B5*100</f>
        <v>6.35491606714628</v>
      </c>
      <c r="C6" s="5" t="n">
        <f aca="false">C2/C5*100</f>
        <v>8.78522377456784</v>
      </c>
      <c r="D6" s="5" t="n">
        <f aca="false">D2/D5*100</f>
        <v>10.4130052724077</v>
      </c>
      <c r="E6" s="5" t="n">
        <f aca="false">E2/E5*100</f>
        <v>8.9237320944638</v>
      </c>
      <c r="F6" s="5" t="n">
        <f aca="false">F2/F5*100</f>
        <v>8.14912570108875</v>
      </c>
      <c r="G6" s="5" t="n">
        <f aca="false">G2/G5*100</f>
        <v>10.3047439522463</v>
      </c>
      <c r="H6" s="5" t="n">
        <f aca="false">H2/H5*100</f>
        <v>10.5602816075095</v>
      </c>
      <c r="I6" s="5" t="n">
        <f aca="false">I2/I5*100</f>
        <v>9.50696188084912</v>
      </c>
      <c r="J6" s="5" t="n">
        <f aca="false">J2/J5*100</f>
        <v>8.13777441332324</v>
      </c>
      <c r="K6" s="5" t="n">
        <f aca="false">K2/K5*100</f>
        <v>10.447361371551</v>
      </c>
      <c r="L6" s="5" t="n">
        <f aca="false">AVERAGE(B6:K6)</f>
        <v>9.15831261351537</v>
      </c>
    </row>
    <row r="7" customFormat="false" ht="15" hidden="false" customHeight="false" outlineLevel="0" collapsed="false">
      <c r="A7" s="21" t="s">
        <v>5</v>
      </c>
      <c r="B7" s="1" t="n">
        <f aca="false">(251+358)</f>
        <v>609</v>
      </c>
      <c r="C7" s="1" t="n">
        <f aca="false">(211+99)</f>
        <v>310</v>
      </c>
      <c r="D7" s="1" t="n">
        <f aca="false">(262+144)</f>
        <v>406</v>
      </c>
      <c r="E7" s="1" t="n">
        <f aca="false">(249+173)</f>
        <v>422</v>
      </c>
      <c r="F7" s="1" t="n">
        <f aca="false">(239+245)</f>
        <v>484</v>
      </c>
      <c r="G7" s="1" t="n">
        <f aca="false">(239+245)</f>
        <v>484</v>
      </c>
      <c r="H7" s="1" t="n">
        <f aca="false">(166+210)</f>
        <v>376</v>
      </c>
      <c r="I7" s="1" t="n">
        <f aca="false">(10+658)</f>
        <v>668</v>
      </c>
      <c r="J7" s="1" t="n">
        <f aca="false">(8+760)</f>
        <v>768</v>
      </c>
      <c r="K7" s="1" t="n">
        <f aca="false">(6+199)</f>
        <v>205</v>
      </c>
      <c r="L7" s="5" t="n">
        <f aca="false">AVERAGE(B7:K7)</f>
        <v>473.2</v>
      </c>
    </row>
    <row r="8" customFormat="false" ht="15" hidden="false" customHeight="false" outlineLevel="0" collapsed="false">
      <c r="A8" s="21" t="s">
        <v>41</v>
      </c>
      <c r="B8" s="5" t="n">
        <f aca="false">B7/B3</f>
        <v>0.483333333333333</v>
      </c>
      <c r="C8" s="5" t="n">
        <f aca="false">C7/C3</f>
        <v>0.198463508322663</v>
      </c>
      <c r="D8" s="5" t="n">
        <f aca="false">D7/D3</f>
        <v>0.213571804313519</v>
      </c>
      <c r="E8" s="5" t="n">
        <f aca="false">E7/E3</f>
        <v>0.192255125284738</v>
      </c>
      <c r="F8" s="5" t="n">
        <f aca="false">F7/F3</f>
        <v>0.198036006546645</v>
      </c>
      <c r="G8" s="5" t="n">
        <f aca="false">G7/G3</f>
        <v>0.182366239638282</v>
      </c>
      <c r="H8" s="5" t="n">
        <f aca="false">H7/H3</f>
        <v>0.111341427302339</v>
      </c>
      <c r="I8" s="5" t="n">
        <f aca="false">I7/I3</f>
        <v>0.170104405398523</v>
      </c>
      <c r="J8" s="5" t="n">
        <f aca="false">J7/J3</f>
        <v>0.170894526034713</v>
      </c>
      <c r="K8" s="5" t="n">
        <f aca="false">K7/K3</f>
        <v>0.0381111730804982</v>
      </c>
      <c r="L8" s="5" t="n">
        <f aca="false">AVERAGE(B8:K8)</f>
        <v>0.195847754925525</v>
      </c>
    </row>
    <row r="9" customFormat="false" ht="15" hidden="false" customHeight="false" outlineLevel="0" collapsed="false">
      <c r="A9" s="21" t="s">
        <v>7</v>
      </c>
      <c r="B9" s="1" t="n">
        <v>47</v>
      </c>
      <c r="C9" s="1" t="n">
        <v>47</v>
      </c>
      <c r="D9" s="1" t="n">
        <v>46</v>
      </c>
      <c r="E9" s="1" t="n">
        <v>49</v>
      </c>
      <c r="F9" s="1" t="n">
        <v>40</v>
      </c>
      <c r="G9" s="1" t="n">
        <v>41</v>
      </c>
      <c r="H9" s="1" t="n">
        <v>55</v>
      </c>
      <c r="I9" s="1" t="n">
        <v>44</v>
      </c>
      <c r="J9" s="1" t="n">
        <v>43</v>
      </c>
      <c r="K9" s="1" t="n">
        <v>42</v>
      </c>
      <c r="L9" s="5" t="n">
        <f aca="false">AVERAGE(B9:K9)</f>
        <v>45.4</v>
      </c>
    </row>
    <row r="10" customFormat="false" ht="15" hidden="false" customHeight="false" outlineLevel="0" collapsed="false">
      <c r="A10" s="21" t="s">
        <v>8</v>
      </c>
      <c r="B10" s="1"/>
      <c r="C10" s="5" t="n">
        <f aca="false">(C5-B5)/B5</f>
        <v>0.0127098321342926</v>
      </c>
      <c r="D10" s="5" t="n">
        <f aca="false">(D5-C5)/C5</f>
        <v>0.0779067013971111</v>
      </c>
      <c r="E10" s="5" t="n">
        <f aca="false">(E5-D5)/D5</f>
        <v>0.134885764499121</v>
      </c>
      <c r="F10" s="5" t="n">
        <f aca="false">(F5-E5)/E5</f>
        <v>0.173441734417344</v>
      </c>
      <c r="G10" s="5" t="n">
        <f aca="false">(G5-F5)/F5</f>
        <v>0.0501484658528538</v>
      </c>
      <c r="H10" s="5" t="n">
        <f aca="false">(H5-G5)/G5</f>
        <v>0.0710021991831605</v>
      </c>
      <c r="I10" s="5" t="n">
        <f aca="false">(I5-H5)/H5</f>
        <v>0.285127603402757</v>
      </c>
      <c r="J10" s="5" t="n">
        <f aca="false">(J5-I5)/I5</f>
        <v>0.206117324811687</v>
      </c>
      <c r="K10" s="5" t="n">
        <f aca="false">(K5-J5)/J5</f>
        <v>0.0597085541256624</v>
      </c>
      <c r="L10" s="5" t="n">
        <f aca="false">AVERAGE(B10:K10)</f>
        <v>0.119005353313777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42"/>
  </cols>
  <sheetData>
    <row r="1" customFormat="false" ht="15" hidden="false" customHeight="false" outlineLevel="0" collapsed="false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39</v>
      </c>
    </row>
    <row r="2" customFormat="false" ht="15" hidden="false" customHeight="false" outlineLevel="0" collapsed="false">
      <c r="A2" s="21" t="s">
        <v>38</v>
      </c>
      <c r="B2" s="1" t="n">
        <v>275</v>
      </c>
      <c r="C2" s="1" t="n">
        <v>902</v>
      </c>
      <c r="D2" s="1" t="n">
        <v>510</v>
      </c>
      <c r="E2" s="1" t="n">
        <v>448</v>
      </c>
      <c r="F2" s="1" t="n">
        <v>516</v>
      </c>
      <c r="G2" s="1" t="n">
        <v>526</v>
      </c>
      <c r="H2" s="1" t="n">
        <v>343</v>
      </c>
      <c r="I2" s="1" t="n">
        <v>468</v>
      </c>
      <c r="J2" s="1" t="n">
        <v>1176</v>
      </c>
      <c r="K2" s="1" t="n">
        <v>1109</v>
      </c>
      <c r="L2" s="5" t="n">
        <f aca="false">AVERAGE(B2:K2)</f>
        <v>627.3</v>
      </c>
    </row>
    <row r="3" customFormat="false" ht="15" hidden="false" customHeight="false" outlineLevel="0" collapsed="false">
      <c r="A3" s="21" t="s">
        <v>42</v>
      </c>
      <c r="B3" s="1" t="n">
        <f aca="false">(54+1548)</f>
        <v>1602</v>
      </c>
      <c r="C3" s="1" t="n">
        <f aca="false">(54+2456)</f>
        <v>2510</v>
      </c>
      <c r="D3" s="1" t="n">
        <f aca="false">(54+2761)</f>
        <v>2815</v>
      </c>
      <c r="E3" s="1" t="n">
        <f aca="false">(54+3078)</f>
        <v>3132</v>
      </c>
      <c r="F3" s="1" t="n">
        <f aca="false">(54+3362)</f>
        <v>3416</v>
      </c>
      <c r="G3" s="1" t="n">
        <f aca="false">(54+3706)</f>
        <v>3760</v>
      </c>
      <c r="H3" s="1" t="n">
        <f aca="false">(54+3999)</f>
        <v>4053</v>
      </c>
      <c r="I3" s="1" t="n">
        <f aca="false">(54+4078)</f>
        <v>4132</v>
      </c>
      <c r="J3" s="1" t="n">
        <f aca="false">(54+4480)</f>
        <v>4534</v>
      </c>
      <c r="K3" s="1" t="n">
        <f aca="false">(81+5502)</f>
        <v>5583</v>
      </c>
      <c r="L3" s="5" t="n">
        <f aca="false">AVERAGE(B3:K3)</f>
        <v>3553.7</v>
      </c>
    </row>
    <row r="4" customFormat="false" ht="15" hidden="false" customHeight="false" outlineLevel="0" collapsed="false">
      <c r="A4" s="21" t="s">
        <v>2</v>
      </c>
      <c r="B4" s="5" t="n">
        <f aca="false">(B2/B3)*100</f>
        <v>17.1660424469413</v>
      </c>
      <c r="C4" s="5" t="n">
        <f aca="false">(C2/C3)*100</f>
        <v>35.9362549800797</v>
      </c>
      <c r="D4" s="5" t="n">
        <f aca="false">(D2/D3)*100</f>
        <v>18.1172291296625</v>
      </c>
      <c r="E4" s="5" t="n">
        <f aca="false">(E2/E3)*100</f>
        <v>14.3039591315453</v>
      </c>
      <c r="F4" s="5" t="n">
        <f aca="false">(F2/F3)*100</f>
        <v>15.1053864168618</v>
      </c>
      <c r="G4" s="5" t="n">
        <f aca="false">(G2/G3)*100</f>
        <v>13.9893617021277</v>
      </c>
      <c r="H4" s="5" t="n">
        <f aca="false">(H2/H3)*100</f>
        <v>8.46286701208981</v>
      </c>
      <c r="I4" s="5" t="n">
        <f aca="false">(I2/I3)*100</f>
        <v>11.3262342691191</v>
      </c>
      <c r="J4" s="5" t="n">
        <f aca="false">(J2/J3)*100</f>
        <v>25.9373621526246</v>
      </c>
      <c r="K4" s="1" t="n">
        <v>8.82</v>
      </c>
      <c r="L4" s="5" t="n">
        <f aca="false">AVERAGE(B4:K4)</f>
        <v>16.9164697241052</v>
      </c>
    </row>
    <row r="5" customFormat="false" ht="15" hidden="false" customHeight="false" outlineLevel="0" collapsed="false">
      <c r="A5" s="21" t="s">
        <v>3</v>
      </c>
      <c r="B5" s="1" t="n">
        <v>3505</v>
      </c>
      <c r="C5" s="1" t="n">
        <v>3767</v>
      </c>
      <c r="D5" s="1" t="n">
        <v>4053</v>
      </c>
      <c r="E5" s="1" t="n">
        <v>4658</v>
      </c>
      <c r="F5" s="1" t="n">
        <v>5424</v>
      </c>
      <c r="G5" s="1" t="n">
        <v>5280</v>
      </c>
      <c r="H5" s="1" t="n">
        <v>5074</v>
      </c>
      <c r="I5" s="1" t="n">
        <v>6369</v>
      </c>
      <c r="J5" s="1" t="n">
        <v>7543</v>
      </c>
      <c r="K5" s="1" t="n">
        <v>7801</v>
      </c>
      <c r="L5" s="5" t="n">
        <f aca="false">AVERAGE(B5:K5)</f>
        <v>5347.4</v>
      </c>
    </row>
    <row r="6" customFormat="false" ht="15" hidden="false" customHeight="false" outlineLevel="0" collapsed="false">
      <c r="A6" s="21" t="s">
        <v>4</v>
      </c>
      <c r="B6" s="5" t="n">
        <f aca="false">B2/B5*100</f>
        <v>7.84593437945792</v>
      </c>
      <c r="C6" s="5" t="n">
        <f aca="false">C2/C5*100</f>
        <v>23.9447836474648</v>
      </c>
      <c r="D6" s="5" t="n">
        <f aca="false">D2/D5*100</f>
        <v>12.5832716506292</v>
      </c>
      <c r="E6" s="5" t="n">
        <f aca="false">E2/E5*100</f>
        <v>9.61786174323744</v>
      </c>
      <c r="F6" s="5" t="n">
        <f aca="false">F2/F5*100</f>
        <v>9.51327433628319</v>
      </c>
      <c r="G6" s="5" t="n">
        <f aca="false">G2/G5*100</f>
        <v>9.96212121212121</v>
      </c>
      <c r="H6" s="5" t="n">
        <f aca="false">H2/H5*100</f>
        <v>6.75995270003942</v>
      </c>
      <c r="I6" s="5" t="n">
        <f aca="false">I2/I5*100</f>
        <v>7.34809232218559</v>
      </c>
      <c r="J6" s="5" t="n">
        <f aca="false">J2/J5*100</f>
        <v>15.5906138141323</v>
      </c>
      <c r="K6" s="5" t="n">
        <f aca="false">K2/K5*100</f>
        <v>14.2161261376747</v>
      </c>
      <c r="L6" s="5" t="n">
        <f aca="false">AVERAGE(B6:K6)</f>
        <v>11.7382031943226</v>
      </c>
    </row>
    <row r="7" customFormat="false" ht="15" hidden="false" customHeight="false" outlineLevel="0" collapsed="false">
      <c r="A7" s="21" t="s">
        <v>5</v>
      </c>
      <c r="B7" s="5" t="n">
        <f aca="false">(46+4)</f>
        <v>50</v>
      </c>
      <c r="C7" s="1" t="n">
        <f aca="false">(29+0)</f>
        <v>29</v>
      </c>
      <c r="D7" s="1" t="n">
        <f aca="false">(18+0)</f>
        <v>18</v>
      </c>
      <c r="E7" s="1" t="n">
        <f aca="false">(10+17)</f>
        <v>27</v>
      </c>
      <c r="F7" s="1" t="n">
        <f aca="false">(4+97)</f>
        <v>101</v>
      </c>
      <c r="G7" s="1" t="n">
        <f aca="false">(23+150)</f>
        <v>173</v>
      </c>
      <c r="H7" s="1" t="n">
        <f aca="false">(17+150)</f>
        <v>167</v>
      </c>
      <c r="I7" s="1" t="n">
        <f aca="false">(11+192)</f>
        <v>203</v>
      </c>
      <c r="J7" s="1" t="n">
        <f aca="false">(5+155)</f>
        <v>160</v>
      </c>
      <c r="K7" s="1" t="n">
        <f aca="false">(15+106)</f>
        <v>121</v>
      </c>
      <c r="L7" s="5" t="n">
        <f aca="false">AVERAGE(B7:K7)</f>
        <v>104.9</v>
      </c>
    </row>
    <row r="8" customFormat="false" ht="15" hidden="false" customHeight="false" outlineLevel="0" collapsed="false">
      <c r="A8" s="21" t="s">
        <v>43</v>
      </c>
      <c r="B8" s="5" t="n">
        <f aca="false">B7/B3</f>
        <v>0.031210986267166</v>
      </c>
      <c r="C8" s="5" t="n">
        <f aca="false">C7/C3</f>
        <v>0.0115537848605578</v>
      </c>
      <c r="D8" s="5" t="n">
        <f aca="false">D7/D3</f>
        <v>0.0063943161634103</v>
      </c>
      <c r="E8" s="5" t="n">
        <f aca="false">E7/E3</f>
        <v>0.00862068965517241</v>
      </c>
      <c r="F8" s="5" t="n">
        <f aca="false">F7/F3</f>
        <v>0.0295667447306792</v>
      </c>
      <c r="G8" s="5" t="n">
        <f aca="false">G7/G3</f>
        <v>0.0460106382978723</v>
      </c>
      <c r="H8" s="5" t="n">
        <f aca="false">H7/H3</f>
        <v>0.0412040463853935</v>
      </c>
      <c r="I8" s="5" t="n">
        <f aca="false">I7/I3</f>
        <v>0.0491287512100678</v>
      </c>
      <c r="J8" s="5" t="n">
        <f aca="false">J7/J3</f>
        <v>0.035288928098809</v>
      </c>
      <c r="K8" s="5" t="n">
        <f aca="false">K7/K3</f>
        <v>0.0216729356976536</v>
      </c>
      <c r="L8" s="5" t="n">
        <f aca="false">AVERAGE(B8:K8)</f>
        <v>0.0280651821366782</v>
      </c>
    </row>
    <row r="9" customFormat="false" ht="15" hidden="false" customHeight="false" outlineLevel="0" collapsed="false">
      <c r="A9" s="21" t="s">
        <v>44</v>
      </c>
      <c r="B9" s="1" t="n">
        <v>54</v>
      </c>
      <c r="C9" s="1" t="n">
        <v>53</v>
      </c>
      <c r="D9" s="1" t="n">
        <v>53</v>
      </c>
      <c r="E9" s="1" t="n">
        <v>55</v>
      </c>
      <c r="F9" s="1" t="n">
        <v>51</v>
      </c>
      <c r="G9" s="1" t="n">
        <v>54</v>
      </c>
      <c r="H9" s="1" t="n">
        <v>69</v>
      </c>
      <c r="I9" s="1" t="n">
        <v>63</v>
      </c>
      <c r="J9" s="1" t="n">
        <v>60</v>
      </c>
      <c r="K9" s="1" t="n">
        <v>62</v>
      </c>
      <c r="L9" s="5" t="n">
        <f aca="false">AVERAGE(B9:K9)</f>
        <v>57.4</v>
      </c>
    </row>
    <row r="10" customFormat="false" ht="15" hidden="false" customHeight="false" outlineLevel="0" collapsed="false">
      <c r="A10" s="21" t="s">
        <v>8</v>
      </c>
      <c r="B10" s="1"/>
      <c r="C10" s="5" t="n">
        <f aca="false">(C5-B5)/B5</f>
        <v>0.0747503566333809</v>
      </c>
      <c r="D10" s="5" t="n">
        <f aca="false">(D5-C5)/C5</f>
        <v>0.0759224847358641</v>
      </c>
      <c r="E10" s="5" t="n">
        <f aca="false">(E5-D5)/D5</f>
        <v>0.149272144090797</v>
      </c>
      <c r="F10" s="5" t="n">
        <f aca="false">(F5-E5)/E5</f>
        <v>0.164448261056247</v>
      </c>
      <c r="G10" s="5" t="n">
        <f aca="false">(G5-F5)/F5</f>
        <v>-0.0265486725663717</v>
      </c>
      <c r="H10" s="5" t="n">
        <f aca="false">(H5-G5)/G5</f>
        <v>-0.0390151515151515</v>
      </c>
      <c r="I10" s="5" t="n">
        <f aca="false">(I5-H5)/H5</f>
        <v>0.25522270398108</v>
      </c>
      <c r="J10" s="5" t="n">
        <f aca="false">(J5-I5)/I5</f>
        <v>0.184330350133459</v>
      </c>
      <c r="K10" s="5" t="n">
        <f aca="false">(K5-J5)/J5</f>
        <v>0.0342038976534535</v>
      </c>
      <c r="L10" s="5" t="n">
        <f aca="false">AVERAGE(B10:K10)</f>
        <v>0.0969540415780843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29"/>
  </cols>
  <sheetData>
    <row r="1" customFormat="false" ht="15" hidden="false" customHeight="false" outlineLevel="0" collapsed="false">
      <c r="A1" s="1"/>
      <c r="B1" s="22" t="s">
        <v>13</v>
      </c>
      <c r="C1" s="22" t="s">
        <v>14</v>
      </c>
      <c r="D1" s="22" t="s">
        <v>15</v>
      </c>
      <c r="E1" s="22" t="s">
        <v>16</v>
      </c>
      <c r="F1" s="22" t="s">
        <v>17</v>
      </c>
      <c r="G1" s="22" t="s">
        <v>18</v>
      </c>
      <c r="H1" s="22" t="s">
        <v>19</v>
      </c>
      <c r="I1" s="22" t="s">
        <v>20</v>
      </c>
      <c r="J1" s="22" t="s">
        <v>21</v>
      </c>
      <c r="K1" s="22" t="s">
        <v>22</v>
      </c>
    </row>
    <row r="2" customFormat="false" ht="15" hidden="false" customHeight="false" outlineLevel="0" collapsed="false">
      <c r="A2" s="23" t="s">
        <v>38</v>
      </c>
      <c r="B2" s="24" t="n">
        <v>1427</v>
      </c>
      <c r="C2" s="24" t="n">
        <v>1803</v>
      </c>
      <c r="D2" s="24" t="n">
        <v>2016</v>
      </c>
      <c r="E2" s="24" t="n">
        <v>2098</v>
      </c>
      <c r="F2" s="24" t="n">
        <v>2208</v>
      </c>
      <c r="G2" s="24" t="n">
        <v>2774</v>
      </c>
      <c r="H2" s="24" t="n">
        <v>3207</v>
      </c>
      <c r="I2" s="24" t="n">
        <v>3085</v>
      </c>
      <c r="J2" s="24" t="n">
        <v>4195</v>
      </c>
      <c r="K2" s="24" t="n">
        <v>5558</v>
      </c>
    </row>
    <row r="3" customFormat="false" ht="15" hidden="false" customHeight="false" outlineLevel="0" collapsed="false">
      <c r="A3" s="23" t="s">
        <v>1</v>
      </c>
      <c r="B3" s="25" t="n">
        <f aca="false">(96+4646)</f>
        <v>4742</v>
      </c>
      <c r="C3" s="25" t="n">
        <f aca="false">(96+6429)</f>
        <v>6525</v>
      </c>
      <c r="D3" s="25" t="n">
        <f aca="false">(96+7508)</f>
        <v>7604</v>
      </c>
      <c r="E3" s="25" t="n">
        <f aca="false">(96+8314)</f>
        <v>8410</v>
      </c>
      <c r="F3" s="25" t="n">
        <f aca="false">(96+9374)</f>
        <v>9470</v>
      </c>
      <c r="G3" s="25" t="n">
        <f aca="false">(96+10035)</f>
        <v>10131</v>
      </c>
      <c r="H3" s="25" t="n">
        <f aca="false">(96+12710)</f>
        <v>12806</v>
      </c>
      <c r="I3" s="25" t="n">
        <f aca="false">(96+13715)</f>
        <v>13811</v>
      </c>
      <c r="J3" s="25" t="n">
        <f aca="false">(96+15896)</f>
        <v>15992</v>
      </c>
      <c r="K3" s="25" t="n">
        <f aca="false">(96+18633)</f>
        <v>18729</v>
      </c>
    </row>
    <row r="4" customFormat="false" ht="15" hidden="false" customHeight="false" outlineLevel="0" collapsed="false">
      <c r="A4" s="23" t="s">
        <v>23</v>
      </c>
      <c r="B4" s="26" t="n">
        <v>8914</v>
      </c>
      <c r="C4" s="26" t="n">
        <v>10559</v>
      </c>
      <c r="D4" s="26" t="n">
        <v>12405</v>
      </c>
      <c r="E4" s="26" t="n">
        <v>13763</v>
      </c>
      <c r="F4" s="26" t="n">
        <v>16249</v>
      </c>
      <c r="G4" s="26" t="n">
        <v>16138</v>
      </c>
      <c r="H4" s="26" t="n">
        <v>20355</v>
      </c>
      <c r="I4" s="26" t="n">
        <v>22958</v>
      </c>
      <c r="J4" s="26" t="n">
        <v>25779</v>
      </c>
      <c r="K4" s="26" t="n">
        <v>29901</v>
      </c>
    </row>
    <row r="5" customFormat="false" ht="15" hidden="false" customHeight="false" outlineLevel="0" collapsed="false">
      <c r="A5" s="23" t="s">
        <v>36</v>
      </c>
      <c r="B5" s="27" t="n">
        <v>1935</v>
      </c>
      <c r="C5" s="27" t="n">
        <v>2400</v>
      </c>
      <c r="D5" s="27" t="n">
        <v>2622</v>
      </c>
      <c r="E5" s="27" t="n">
        <v>2803</v>
      </c>
      <c r="F5" s="27" t="n">
        <v>3033</v>
      </c>
      <c r="G5" s="27" t="n">
        <v>3280</v>
      </c>
      <c r="H5" s="27" t="n">
        <v>3973</v>
      </c>
      <c r="I5" s="27" t="n">
        <v>4065</v>
      </c>
      <c r="J5" s="27" t="n">
        <v>3988</v>
      </c>
      <c r="K5" s="27" t="n">
        <v>5402</v>
      </c>
    </row>
    <row r="6" customFormat="false" ht="15" hidden="false" customHeight="false" outlineLevel="0" collapsed="false">
      <c r="A6" s="23" t="s">
        <v>45</v>
      </c>
      <c r="B6" s="28" t="n">
        <v>42</v>
      </c>
      <c r="C6" s="28" t="n">
        <v>49</v>
      </c>
      <c r="D6" s="28" t="n">
        <v>37</v>
      </c>
      <c r="E6" s="28" t="n">
        <v>41</v>
      </c>
      <c r="F6" s="28" t="n">
        <v>110</v>
      </c>
      <c r="G6" s="28" t="n">
        <v>102</v>
      </c>
      <c r="H6" s="28" t="n">
        <v>92</v>
      </c>
      <c r="I6" s="28" t="n">
        <v>95</v>
      </c>
      <c r="J6" s="28" t="n">
        <v>144</v>
      </c>
      <c r="K6" s="28" t="n">
        <v>205</v>
      </c>
    </row>
    <row r="7" customFormat="false" ht="15" hidden="false" customHeight="false" outlineLevel="0" collapsed="false">
      <c r="A7" s="23" t="s">
        <v>34</v>
      </c>
      <c r="B7" s="27" t="n">
        <v>1977</v>
      </c>
      <c r="C7" s="27" t="n">
        <v>2449</v>
      </c>
      <c r="D7" s="27" t="n">
        <v>2659</v>
      </c>
      <c r="E7" s="27" t="n">
        <v>2844</v>
      </c>
      <c r="F7" s="27" t="n">
        <v>3143</v>
      </c>
      <c r="G7" s="27" t="n">
        <v>3382</v>
      </c>
      <c r="H7" s="27" t="n">
        <v>4065</v>
      </c>
      <c r="I7" s="27" t="n">
        <v>3988</v>
      </c>
      <c r="J7" s="27" t="n">
        <v>5402</v>
      </c>
      <c r="K7" s="27" t="n">
        <v>6732</v>
      </c>
    </row>
    <row r="8" customFormat="false" ht="15" hidden="false" customHeight="false" outlineLevel="0" collapsed="false">
      <c r="A8" s="23" t="s">
        <v>25</v>
      </c>
      <c r="B8" s="28" t="n">
        <v>3754</v>
      </c>
      <c r="C8" s="28" t="n">
        <v>3711</v>
      </c>
      <c r="D8" s="28" t="n">
        <v>4241</v>
      </c>
      <c r="E8" s="28" t="n">
        <v>4820</v>
      </c>
      <c r="F8" s="28" t="n">
        <v>5459</v>
      </c>
      <c r="G8" s="28" t="n">
        <v>4889</v>
      </c>
      <c r="H8" s="28" t="n">
        <v>6456</v>
      </c>
      <c r="I8" s="28" t="n">
        <v>7560</v>
      </c>
      <c r="J8" s="28" t="n">
        <v>7854</v>
      </c>
      <c r="K8" s="28" t="n">
        <v>8698</v>
      </c>
    </row>
    <row r="9" customFormat="false" ht="15" hidden="false" customHeight="false" outlineLevel="0" collapsed="false">
      <c r="A9" s="23" t="s">
        <v>2</v>
      </c>
      <c r="B9" s="5" t="n">
        <f aca="false">B2/B3*100</f>
        <v>30.0927878532265</v>
      </c>
      <c r="C9" s="5" t="n">
        <f aca="false">C2/C3*100</f>
        <v>27.632183908046</v>
      </c>
      <c r="D9" s="5" t="n">
        <f aca="false">D2/D3*100</f>
        <v>26.5123619147817</v>
      </c>
      <c r="E9" s="5" t="n">
        <f aca="false">E2/E3*100</f>
        <v>24.9464922711058</v>
      </c>
      <c r="F9" s="5" t="n">
        <f aca="false">F2/F3*100</f>
        <v>23.3157338965153</v>
      </c>
      <c r="G9" s="5" t="n">
        <f aca="false">G2/G3*100</f>
        <v>27.3813049057349</v>
      </c>
      <c r="H9" s="5" t="n">
        <f aca="false">H2/H3*100</f>
        <v>25.0429486178354</v>
      </c>
      <c r="I9" s="5" t="n">
        <f aca="false">I2/I3*100</f>
        <v>22.3372673955543</v>
      </c>
      <c r="J9" s="5" t="n">
        <f aca="false">J2/J3*100</f>
        <v>26.2318659329665</v>
      </c>
      <c r="K9" s="5" t="n">
        <f aca="false">K2/K3*100</f>
        <v>29.6759036787869</v>
      </c>
    </row>
    <row r="10" customFormat="false" ht="15" hidden="false" customHeight="false" outlineLevel="0" collapsed="false">
      <c r="A10" s="23" t="s">
        <v>46</v>
      </c>
      <c r="B10" s="5" t="n">
        <f aca="false">B2/B4*100</f>
        <v>16.0085259142921</v>
      </c>
      <c r="C10" s="5" t="n">
        <f aca="false">C2/C4*100</f>
        <v>17.0754806326357</v>
      </c>
      <c r="D10" s="5" t="n">
        <f aca="false">D2/D4*100</f>
        <v>16.2515114873035</v>
      </c>
      <c r="E10" s="5" t="n">
        <f aca="false">E2/E4*100</f>
        <v>15.2437695269927</v>
      </c>
      <c r="F10" s="5" t="n">
        <f aca="false">F2/F4*100</f>
        <v>13.5885285248323</v>
      </c>
      <c r="G10" s="5" t="n">
        <f aca="false">G2/G4*100</f>
        <v>17.1892427810138</v>
      </c>
      <c r="H10" s="5" t="n">
        <f aca="false">H2/H4*100</f>
        <v>15.7553426676492</v>
      </c>
      <c r="I10" s="5" t="n">
        <f aca="false">I2/I4*100</f>
        <v>13.4375816708773</v>
      </c>
      <c r="J10" s="5" t="n">
        <f aca="false">J2/J4*100</f>
        <v>16.2729353349626</v>
      </c>
      <c r="K10" s="5" t="n">
        <f aca="false">K2/K4*100</f>
        <v>18.5880070900639</v>
      </c>
    </row>
    <row r="11" customFormat="false" ht="15" hidden="false" customHeight="false" outlineLevel="0" collapsed="false">
      <c r="A11" s="23" t="s">
        <v>47</v>
      </c>
      <c r="B11" s="4" t="n">
        <f aca="false">B7/(B4-B8)</f>
        <v>0.383139534883721</v>
      </c>
      <c r="C11" s="4" t="n">
        <f aca="false">C7/(C4-C8)</f>
        <v>0.357622663551402</v>
      </c>
      <c r="D11" s="4" t="n">
        <f aca="false">D7/(D4-D8)</f>
        <v>0.325698187163155</v>
      </c>
      <c r="E11" s="4" t="n">
        <f aca="false">E7/(E4-E8)</f>
        <v>0.318014089231801</v>
      </c>
      <c r="F11" s="4" t="n">
        <f aca="false">F7/(F4-F8)</f>
        <v>0.291288229842447</v>
      </c>
      <c r="G11" s="4" t="n">
        <f aca="false">G7/(G4-G8)</f>
        <v>0.300648946573029</v>
      </c>
      <c r="H11" s="4" t="n">
        <f aca="false">H7/(H4-H8)</f>
        <v>0.292467083962875</v>
      </c>
      <c r="I11" s="4" t="n">
        <f aca="false">I7/(I4-I8)</f>
        <v>0.258994674633069</v>
      </c>
      <c r="J11" s="4" t="n">
        <f aca="false">J7/(J4-J8)</f>
        <v>0.301366806136681</v>
      </c>
      <c r="K11" s="4" t="n">
        <f aca="false">K7/(K4-K8)</f>
        <v>0.317502240249021</v>
      </c>
    </row>
    <row r="12" customFormat="false" ht="15" hidden="false" customHeight="false" outlineLevel="0" collapsed="false">
      <c r="A12" s="23" t="s">
        <v>48</v>
      </c>
      <c r="B12" s="28" t="n">
        <v>418</v>
      </c>
      <c r="C12" s="28" t="n">
        <v>323</v>
      </c>
      <c r="D12" s="28" t="n">
        <v>560</v>
      </c>
      <c r="E12" s="28" t="n">
        <v>533</v>
      </c>
      <c r="F12" s="28" t="n">
        <v>1320</v>
      </c>
      <c r="G12" s="28" t="n">
        <v>1118</v>
      </c>
      <c r="H12" s="28" t="n">
        <v>1093</v>
      </c>
      <c r="I12" s="28" t="n">
        <v>1587</v>
      </c>
      <c r="J12" s="28" t="n">
        <v>1933</v>
      </c>
      <c r="K12" s="28" t="n">
        <v>2474</v>
      </c>
    </row>
    <row r="13" customFormat="false" ht="15" hidden="false" customHeight="false" outlineLevel="0" collapsed="false">
      <c r="A13" s="29" t="s">
        <v>49</v>
      </c>
      <c r="B13" s="1" t="n">
        <f aca="false">B7/B6</f>
        <v>47.0714285714286</v>
      </c>
      <c r="C13" s="1" t="n">
        <f aca="false">C7/C6</f>
        <v>49.9795918367347</v>
      </c>
      <c r="D13" s="1" t="n">
        <f aca="false">D7/D6</f>
        <v>71.8648648648649</v>
      </c>
      <c r="E13" s="1" t="n">
        <f aca="false">E7/E6</f>
        <v>69.3658536585366</v>
      </c>
      <c r="F13" s="1" t="n">
        <f aca="false">F7/F6</f>
        <v>28.5727272727273</v>
      </c>
      <c r="G13" s="1" t="n">
        <f aca="false">G7/G6</f>
        <v>33.156862745098</v>
      </c>
      <c r="H13" s="1" t="n">
        <f aca="false">H7/H6</f>
        <v>44.1847826086957</v>
      </c>
      <c r="I13" s="1" t="n">
        <f aca="false">I7/I6</f>
        <v>41.9789473684211</v>
      </c>
      <c r="J13" s="1" t="n">
        <f aca="false">J7/J6</f>
        <v>37.5138888888889</v>
      </c>
      <c r="K13" s="1" t="n">
        <f aca="false">K7/K6</f>
        <v>32.8390243902439</v>
      </c>
    </row>
    <row r="14" customFormat="false" ht="15" hidden="false" customHeight="false" outlineLevel="0" collapsed="false">
      <c r="A14" s="29" t="s">
        <v>32</v>
      </c>
      <c r="B14" s="30" t="n">
        <v>2243</v>
      </c>
      <c r="C14" s="26" t="n">
        <v>2725</v>
      </c>
      <c r="D14" s="26" t="n">
        <v>2994</v>
      </c>
      <c r="E14" s="26" t="n">
        <v>3204</v>
      </c>
      <c r="F14" s="26" t="n">
        <v>3765</v>
      </c>
      <c r="G14" s="26" t="n">
        <v>4162</v>
      </c>
      <c r="H14" s="26" t="n">
        <v>4856</v>
      </c>
      <c r="I14" s="26" t="n">
        <v>4804</v>
      </c>
      <c r="J14" s="26" t="n">
        <v>6260</v>
      </c>
      <c r="K14" s="26" t="n">
        <v>7585</v>
      </c>
      <c r="N14" s="0" t="n">
        <v>0</v>
      </c>
    </row>
    <row r="15" customFormat="false" ht="15" hidden="false" customHeight="false" outlineLevel="0" collapsed="false">
      <c r="A15" s="29" t="s">
        <v>28</v>
      </c>
      <c r="B15" s="26" t="n">
        <v>13615</v>
      </c>
      <c r="C15" s="26" t="n">
        <v>14271</v>
      </c>
      <c r="D15" s="26" t="n">
        <v>15062</v>
      </c>
      <c r="E15" s="26" t="n">
        <v>16825</v>
      </c>
      <c r="F15" s="26" t="n">
        <v>19240</v>
      </c>
      <c r="G15" s="26" t="n">
        <v>20211</v>
      </c>
      <c r="H15" s="26" t="n">
        <v>21713</v>
      </c>
      <c r="I15" s="26" t="n">
        <v>29101</v>
      </c>
      <c r="J15" s="26" t="n">
        <v>34389</v>
      </c>
      <c r="K15" s="26" t="n">
        <v>35495</v>
      </c>
    </row>
    <row r="16" customFormat="false" ht="15" hidden="false" customHeight="false" outlineLevel="0" collapsed="false">
      <c r="A16" s="29" t="s">
        <v>50</v>
      </c>
      <c r="B16" s="6" t="n">
        <f aca="false">B14/B15*100</f>
        <v>16.4744766801322</v>
      </c>
      <c r="C16" s="6" t="n">
        <f aca="false">C14/C15*100</f>
        <v>19.0946675075328</v>
      </c>
      <c r="D16" s="6" t="n">
        <f aca="false">D14/D15*100</f>
        <v>19.8778382684902</v>
      </c>
      <c r="E16" s="6" t="n">
        <f aca="false">E14/E15*100</f>
        <v>19.0430906389302</v>
      </c>
      <c r="F16" s="6" t="n">
        <f aca="false">F14/F15*100</f>
        <v>19.5686070686071</v>
      </c>
      <c r="G16" s="6" t="n">
        <f aca="false">G14/G15*100</f>
        <v>20.59274652417</v>
      </c>
      <c r="H16" s="6" t="n">
        <f aca="false">H14/H15*100</f>
        <v>22.3644821074932</v>
      </c>
      <c r="I16" s="6" t="n">
        <f aca="false">I14/I15*100</f>
        <v>16.5080237792516</v>
      </c>
      <c r="J16" s="6" t="n">
        <f aca="false">J14/J15*100</f>
        <v>18.2034953037308</v>
      </c>
      <c r="K16" s="6" t="n">
        <f aca="false">K14/K15*100</f>
        <v>21.3692069305536</v>
      </c>
    </row>
    <row r="17" customFormat="false" ht="15" hidden="false" customHeight="false" outlineLevel="0" collapsed="false">
      <c r="A17" s="29" t="s">
        <v>51</v>
      </c>
      <c r="B17" s="6" t="n">
        <f aca="false">B2/B15*100</f>
        <v>10.481087036357</v>
      </c>
      <c r="C17" s="6" t="n">
        <f aca="false">C2/C15*100</f>
        <v>12.6340130334244</v>
      </c>
      <c r="D17" s="6" t="n">
        <f aca="false">D2/D15*100</f>
        <v>13.384676669765</v>
      </c>
      <c r="E17" s="6" t="n">
        <f aca="false">E2/E15*100</f>
        <v>12.4695393759287</v>
      </c>
      <c r="F17" s="6" t="n">
        <f aca="false">F2/F15*100</f>
        <v>11.4760914760915</v>
      </c>
      <c r="G17" s="6" t="n">
        <f aca="false">G2/G15*100</f>
        <v>13.7251991489783</v>
      </c>
      <c r="H17" s="6" t="n">
        <f aca="false">H2/H15*100</f>
        <v>14.7699534840879</v>
      </c>
      <c r="I17" s="6" t="n">
        <f aca="false">I2/I15*100</f>
        <v>10.601010274561</v>
      </c>
      <c r="J17" s="6" t="n">
        <f aca="false">J2/J15*100</f>
        <v>12.1986681787781</v>
      </c>
      <c r="K17" s="6" t="n">
        <f aca="false">K2/K15*100</f>
        <v>15.6585434568249</v>
      </c>
    </row>
    <row r="18" customFormat="false" ht="15" hidden="false" customHeight="false" outlineLevel="0" collapsed="false">
      <c r="A18" s="31" t="s">
        <v>52</v>
      </c>
      <c r="B18" s="6" t="n">
        <v>-155</v>
      </c>
      <c r="C18" s="6" t="n">
        <v>-146</v>
      </c>
      <c r="D18" s="6" t="n">
        <v>-475</v>
      </c>
      <c r="E18" s="6" t="n">
        <v>-483</v>
      </c>
      <c r="F18" s="6" t="n">
        <v>-205</v>
      </c>
      <c r="G18" s="6" t="n">
        <v>160</v>
      </c>
      <c r="H18" s="6" t="n">
        <v>-849</v>
      </c>
      <c r="I18" s="6" t="n">
        <v>-1326</v>
      </c>
      <c r="J18" s="6" t="n">
        <v>-834</v>
      </c>
      <c r="K18" s="6" t="n">
        <v>-362</v>
      </c>
    </row>
    <row r="19" customFormat="false" ht="15" hidden="false" customHeight="false" outlineLevel="0" collapsed="false">
      <c r="A19" s="31" t="s">
        <v>53</v>
      </c>
      <c r="B19" s="6" t="n">
        <v>-151</v>
      </c>
      <c r="C19" s="6" t="n">
        <v>142</v>
      </c>
      <c r="D19" s="6" t="n">
        <v>501</v>
      </c>
      <c r="E19" s="6" t="n">
        <v>442</v>
      </c>
      <c r="F19" s="6" t="n">
        <v>287</v>
      </c>
      <c r="G19" s="6" t="n">
        <v>-241</v>
      </c>
      <c r="H19" s="6" t="n">
        <v>1143</v>
      </c>
      <c r="I19" s="6" t="n">
        <v>644</v>
      </c>
      <c r="J19" s="6" t="n">
        <v>-539</v>
      </c>
      <c r="K19" s="6" t="n">
        <v>269</v>
      </c>
    </row>
    <row r="20" customFormat="false" ht="15" hidden="false" customHeight="false" outlineLevel="0" collapsed="false">
      <c r="A20" s="31" t="s">
        <v>54</v>
      </c>
      <c r="B20" s="6" t="n">
        <v>-144</v>
      </c>
      <c r="C20" s="6" t="n">
        <v>202</v>
      </c>
      <c r="D20" s="6" t="n">
        <v>-629</v>
      </c>
      <c r="E20" s="6" t="n">
        <v>-39</v>
      </c>
      <c r="F20" s="6" t="n">
        <v>-492</v>
      </c>
      <c r="G20" s="6" t="n">
        <v>-251</v>
      </c>
      <c r="H20" s="6" t="n">
        <v>-409</v>
      </c>
      <c r="I20" s="6" t="n">
        <v>-2354</v>
      </c>
      <c r="J20" s="6" t="n">
        <v>-56</v>
      </c>
      <c r="K20" s="6" t="n">
        <v>315</v>
      </c>
    </row>
    <row r="21" customFormat="false" ht="15" hidden="false" customHeight="false" outlineLevel="0" collapsed="false">
      <c r="A21" s="31" t="s">
        <v>55</v>
      </c>
      <c r="B21" s="6" t="n">
        <v>6875</v>
      </c>
      <c r="C21" s="6" t="n">
        <v>6570</v>
      </c>
      <c r="D21" s="6" t="n">
        <v>7453</v>
      </c>
      <c r="E21" s="6" t="n">
        <v>8128</v>
      </c>
      <c r="F21" s="6" t="n">
        <v>9974</v>
      </c>
      <c r="G21" s="6" t="n">
        <v>9982</v>
      </c>
      <c r="H21" s="6" t="n">
        <v>10426</v>
      </c>
      <c r="I21" s="6" t="n">
        <v>17123</v>
      </c>
      <c r="J21" s="6" t="n">
        <v>18986</v>
      </c>
      <c r="K21" s="6" t="n">
        <v>17411</v>
      </c>
    </row>
    <row r="22" customFormat="false" ht="15" hidden="false" customHeight="false" outlineLevel="0" collapsed="false">
      <c r="A22" s="31" t="s">
        <v>7</v>
      </c>
      <c r="B22" s="6" t="n">
        <v>32</v>
      </c>
      <c r="C22" s="6" t="n">
        <v>30</v>
      </c>
      <c r="D22" s="6" t="n">
        <v>35</v>
      </c>
      <c r="E22" s="6" t="n">
        <v>38</v>
      </c>
      <c r="F22" s="6" t="n">
        <v>36</v>
      </c>
      <c r="G22" s="6" t="n">
        <v>32</v>
      </c>
      <c r="H22" s="6" t="n">
        <v>44</v>
      </c>
      <c r="I22" s="6" t="n">
        <v>49</v>
      </c>
      <c r="J22" s="6" t="n">
        <v>49</v>
      </c>
      <c r="K22" s="6" t="n">
        <v>46</v>
      </c>
    </row>
    <row r="23" customFormat="false" ht="15" hidden="false" customHeight="false" outlineLevel="0" collapsed="false">
      <c r="A23" s="31" t="s">
        <v>56</v>
      </c>
      <c r="B23" s="6" t="n">
        <v>123</v>
      </c>
      <c r="C23" s="6" t="n">
        <v>108</v>
      </c>
      <c r="D23" s="6" t="n">
        <v>138</v>
      </c>
      <c r="E23" s="6" t="n">
        <v>117</v>
      </c>
      <c r="F23" s="6" t="n">
        <v>119</v>
      </c>
      <c r="G23" s="6" t="n">
        <v>127</v>
      </c>
      <c r="H23" s="6" t="n">
        <v>134</v>
      </c>
      <c r="I23" s="6" t="n">
        <v>142</v>
      </c>
      <c r="J23" s="6" t="n">
        <v>121</v>
      </c>
      <c r="K23" s="6" t="n">
        <v>122</v>
      </c>
    </row>
    <row r="24" customFormat="false" ht="15" hidden="false" customHeight="false" outlineLevel="0" collapsed="false">
      <c r="A24" s="31" t="s">
        <v>57</v>
      </c>
      <c r="B24" s="6" t="n">
        <v>84</v>
      </c>
      <c r="C24" s="6" t="n">
        <v>84</v>
      </c>
      <c r="D24" s="6" t="n">
        <v>101</v>
      </c>
      <c r="E24" s="6" t="n">
        <v>95</v>
      </c>
      <c r="F24" s="6" t="n">
        <v>90</v>
      </c>
      <c r="G24" s="6" t="n">
        <v>80</v>
      </c>
      <c r="H24" s="6" t="n">
        <v>119</v>
      </c>
      <c r="I24" s="6" t="n">
        <v>96</v>
      </c>
      <c r="J24" s="6" t="n">
        <v>71</v>
      </c>
      <c r="K24" s="6" t="n">
        <v>81</v>
      </c>
    </row>
    <row r="25" customFormat="false" ht="15" hidden="false" customHeight="false" outlineLevel="0" collapsed="false">
      <c r="A25" s="31" t="s">
        <v>6</v>
      </c>
      <c r="B25" s="6" t="n">
        <f aca="false">B12/B3</f>
        <v>0.0881484605651624</v>
      </c>
      <c r="C25" s="6" t="n">
        <f aca="false">C12/C3</f>
        <v>0.0495019157088123</v>
      </c>
      <c r="D25" s="6" t="n">
        <f aca="false">D12/D3</f>
        <v>0.0736454497632825</v>
      </c>
      <c r="E25" s="6" t="n">
        <f aca="false">E12/E3</f>
        <v>0.0633769322235434</v>
      </c>
      <c r="F25" s="6" t="n">
        <f aca="false">F12/F3</f>
        <v>0.139387539598733</v>
      </c>
      <c r="G25" s="6" t="n">
        <f aca="false">G12/G3</f>
        <v>0.110354357911361</v>
      </c>
      <c r="H25" s="6" t="n">
        <f aca="false">H12/H3</f>
        <v>0.0853506168983289</v>
      </c>
      <c r="I25" s="6" t="n">
        <f aca="false">I12/I3</f>
        <v>0.11490840634277</v>
      </c>
      <c r="J25" s="6" t="n">
        <f aca="false">J12/J3</f>
        <v>0.120872936468234</v>
      </c>
      <c r="K25" s="6" t="n">
        <f aca="false">K12/K3</f>
        <v>0.132094612632815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</cols>
  <sheetData>
    <row r="1" customFormat="false" ht="15" hidden="false" customHeight="false" outlineLevel="0" collapsed="false">
      <c r="A1" s="1"/>
      <c r="B1" s="22" t="s">
        <v>13</v>
      </c>
      <c r="C1" s="22" t="s">
        <v>14</v>
      </c>
      <c r="D1" s="22" t="s">
        <v>15</v>
      </c>
      <c r="E1" s="22" t="s">
        <v>16</v>
      </c>
      <c r="F1" s="22" t="s">
        <v>17</v>
      </c>
      <c r="G1" s="22" t="s">
        <v>18</v>
      </c>
      <c r="H1" s="22" t="s">
        <v>19</v>
      </c>
      <c r="I1" s="22" t="s">
        <v>20</v>
      </c>
      <c r="J1" s="22" t="s">
        <v>21</v>
      </c>
      <c r="K1" s="22" t="s">
        <v>22</v>
      </c>
    </row>
    <row r="2" customFormat="false" ht="15" hidden="false" customHeight="false" outlineLevel="0" collapsed="false">
      <c r="A2" s="23" t="s">
        <v>38</v>
      </c>
      <c r="B2" s="24" t="n">
        <v>1427</v>
      </c>
      <c r="C2" s="24" t="n">
        <v>1803</v>
      </c>
      <c r="D2" s="24" t="n">
        <v>2016</v>
      </c>
      <c r="E2" s="24" t="n">
        <v>2098</v>
      </c>
      <c r="F2" s="24" t="n">
        <v>2208</v>
      </c>
      <c r="G2" s="24" t="n">
        <v>2774</v>
      </c>
      <c r="H2" s="24" t="n">
        <v>3207</v>
      </c>
      <c r="I2" s="24" t="n">
        <v>3085</v>
      </c>
      <c r="J2" s="24" t="n">
        <v>4195</v>
      </c>
      <c r="K2" s="24" t="n">
        <v>5558</v>
      </c>
    </row>
    <row r="3" customFormat="false" ht="15" hidden="false" customHeight="false" outlineLevel="0" collapsed="false">
      <c r="A3" s="23" t="s">
        <v>1</v>
      </c>
      <c r="B3" s="25" t="n">
        <f aca="false">(96+4646)</f>
        <v>4742</v>
      </c>
      <c r="C3" s="25" t="n">
        <f aca="false">(96+6429)</f>
        <v>6525</v>
      </c>
      <c r="D3" s="25" t="n">
        <f aca="false">(96+7508)</f>
        <v>7604</v>
      </c>
      <c r="E3" s="25" t="n">
        <f aca="false">(96+8314)</f>
        <v>8410</v>
      </c>
      <c r="F3" s="25" t="n">
        <f aca="false">(96+9374)</f>
        <v>9470</v>
      </c>
      <c r="G3" s="25" t="n">
        <f aca="false">(96+10035)</f>
        <v>10131</v>
      </c>
      <c r="H3" s="25" t="n">
        <f aca="false">(96+12710)</f>
        <v>12806</v>
      </c>
      <c r="I3" s="25" t="n">
        <f aca="false">(96+13715)</f>
        <v>13811</v>
      </c>
      <c r="J3" s="25" t="n">
        <f aca="false">(96+15896)</f>
        <v>15992</v>
      </c>
      <c r="K3" s="25" t="n">
        <f aca="false">(96+18633)</f>
        <v>18729</v>
      </c>
    </row>
    <row r="4" customFormat="false" ht="15" hidden="false" customHeight="false" outlineLevel="0" collapsed="false">
      <c r="A4" s="23" t="s">
        <v>23</v>
      </c>
      <c r="B4" s="26" t="n">
        <v>8914</v>
      </c>
      <c r="C4" s="26" t="n">
        <v>10559</v>
      </c>
      <c r="D4" s="26" t="n">
        <v>12405</v>
      </c>
      <c r="E4" s="26" t="n">
        <v>13763</v>
      </c>
      <c r="F4" s="26" t="n">
        <v>16249</v>
      </c>
      <c r="G4" s="26" t="n">
        <v>16138</v>
      </c>
      <c r="H4" s="26" t="n">
        <v>20355</v>
      </c>
      <c r="I4" s="26" t="n">
        <v>22958</v>
      </c>
      <c r="J4" s="26" t="n">
        <v>25779</v>
      </c>
      <c r="K4" s="26" t="n">
        <v>29901</v>
      </c>
    </row>
    <row r="5" customFormat="false" ht="15" hidden="false" customHeight="false" outlineLevel="0" collapsed="false">
      <c r="A5" s="23" t="s">
        <v>36</v>
      </c>
      <c r="B5" s="27" t="n">
        <v>1935</v>
      </c>
      <c r="C5" s="27" t="n">
        <v>2400</v>
      </c>
      <c r="D5" s="27" t="n">
        <v>2622</v>
      </c>
      <c r="E5" s="27" t="n">
        <v>2803</v>
      </c>
      <c r="F5" s="27" t="n">
        <v>3033</v>
      </c>
      <c r="G5" s="27" t="n">
        <v>3280</v>
      </c>
      <c r="H5" s="27" t="n">
        <v>3973</v>
      </c>
      <c r="I5" s="27" t="n">
        <v>4065</v>
      </c>
      <c r="J5" s="27" t="n">
        <v>3988</v>
      </c>
      <c r="K5" s="27" t="n">
        <v>5402</v>
      </c>
    </row>
    <row r="6" customFormat="false" ht="15" hidden="false" customHeight="false" outlineLevel="0" collapsed="false">
      <c r="A6" s="23" t="s">
        <v>45</v>
      </c>
      <c r="B6" s="28" t="n">
        <v>42</v>
      </c>
      <c r="C6" s="28" t="n">
        <v>49</v>
      </c>
      <c r="D6" s="28" t="n">
        <v>37</v>
      </c>
      <c r="E6" s="28" t="n">
        <v>41</v>
      </c>
      <c r="F6" s="28" t="n">
        <v>110</v>
      </c>
      <c r="G6" s="28" t="n">
        <v>102</v>
      </c>
      <c r="H6" s="28" t="n">
        <v>92</v>
      </c>
      <c r="I6" s="28" t="n">
        <v>95</v>
      </c>
      <c r="J6" s="28" t="n">
        <v>144</v>
      </c>
      <c r="K6" s="28" t="n">
        <v>205</v>
      </c>
    </row>
    <row r="7" customFormat="false" ht="15" hidden="false" customHeight="false" outlineLevel="0" collapsed="false">
      <c r="A7" s="23" t="s">
        <v>34</v>
      </c>
      <c r="B7" s="27" t="n">
        <v>1977</v>
      </c>
      <c r="C7" s="27" t="n">
        <v>2449</v>
      </c>
      <c r="D7" s="27" t="n">
        <v>2659</v>
      </c>
      <c r="E7" s="27" t="n">
        <v>2844</v>
      </c>
      <c r="F7" s="27" t="n">
        <v>3143</v>
      </c>
      <c r="G7" s="27" t="n">
        <v>3382</v>
      </c>
      <c r="H7" s="27" t="n">
        <v>4065</v>
      </c>
      <c r="I7" s="27" t="n">
        <v>3988</v>
      </c>
      <c r="J7" s="27" t="n">
        <v>5402</v>
      </c>
      <c r="K7" s="27" t="n">
        <v>6732</v>
      </c>
    </row>
    <row r="8" customFormat="false" ht="15" hidden="false" customHeight="false" outlineLevel="0" collapsed="false">
      <c r="A8" s="23" t="s">
        <v>25</v>
      </c>
      <c r="B8" s="28" t="n">
        <v>3754</v>
      </c>
      <c r="C8" s="28" t="n">
        <v>3711</v>
      </c>
      <c r="D8" s="28" t="n">
        <v>4241</v>
      </c>
      <c r="E8" s="28" t="n">
        <v>4820</v>
      </c>
      <c r="F8" s="28" t="n">
        <v>5459</v>
      </c>
      <c r="G8" s="28" t="n">
        <v>4889</v>
      </c>
      <c r="H8" s="28" t="n">
        <v>6456</v>
      </c>
      <c r="I8" s="28" t="n">
        <v>7560</v>
      </c>
      <c r="J8" s="28" t="n">
        <v>7854</v>
      </c>
      <c r="K8" s="28" t="n">
        <v>8698</v>
      </c>
    </row>
    <row r="9" customFormat="false" ht="15" hidden="false" customHeight="false" outlineLevel="0" collapsed="false">
      <c r="A9" s="23" t="s">
        <v>2</v>
      </c>
      <c r="B9" s="1" t="n">
        <f aca="false">B2/B3*100</f>
        <v>30.0927878532265</v>
      </c>
      <c r="C9" s="1" t="n">
        <f aca="false">C2/C3*100</f>
        <v>27.632183908046</v>
      </c>
      <c r="D9" s="1" t="n">
        <f aca="false">D2/D3*100</f>
        <v>26.5123619147817</v>
      </c>
      <c r="E9" s="1" t="n">
        <f aca="false">E2/E3*100</f>
        <v>24.9464922711058</v>
      </c>
      <c r="F9" s="1" t="n">
        <f aca="false">F2/F3*100</f>
        <v>23.3157338965153</v>
      </c>
      <c r="G9" s="1" t="n">
        <f aca="false">G2/G3*100</f>
        <v>27.3813049057349</v>
      </c>
      <c r="H9" s="1" t="n">
        <f aca="false">H2/H3*100</f>
        <v>25.0429486178354</v>
      </c>
      <c r="I9" s="1" t="n">
        <f aca="false">I2/I3*100</f>
        <v>22.3372673955543</v>
      </c>
      <c r="J9" s="1" t="n">
        <f aca="false">J2/J3*100</f>
        <v>26.2318659329665</v>
      </c>
      <c r="K9" s="1" t="n">
        <f aca="false">K2/K3*100</f>
        <v>29.6759036787869</v>
      </c>
      <c r="M9" s="32" t="n">
        <f aca="false">B2/B3*100</f>
        <v>30.0927878532265</v>
      </c>
    </row>
    <row r="10" customFormat="false" ht="15" hidden="false" customHeight="false" outlineLevel="0" collapsed="false">
      <c r="A10" s="23" t="s">
        <v>46</v>
      </c>
      <c r="B10" s="1" t="n">
        <f aca="false">B2/B4*100</f>
        <v>16.0085259142921</v>
      </c>
      <c r="C10" s="1" t="n">
        <f aca="false">C2/C4*100</f>
        <v>17.0754806326357</v>
      </c>
      <c r="D10" s="1" t="n">
        <f aca="false">D2/D4*100</f>
        <v>16.2515114873035</v>
      </c>
      <c r="E10" s="1" t="n">
        <f aca="false">E2/E4*100</f>
        <v>15.2437695269927</v>
      </c>
      <c r="F10" s="1" t="n">
        <f aca="false">F2/F4*100</f>
        <v>13.5885285248323</v>
      </c>
      <c r="G10" s="1" t="n">
        <f aca="false">G2/G4*100</f>
        <v>17.1892427810138</v>
      </c>
      <c r="H10" s="1" t="n">
        <f aca="false">H2/H4*100</f>
        <v>15.7553426676492</v>
      </c>
      <c r="I10" s="1" t="n">
        <f aca="false">I2/I4*100</f>
        <v>13.4375816708773</v>
      </c>
      <c r="J10" s="1" t="n">
        <f aca="false">J2/J4*100</f>
        <v>16.2729353349626</v>
      </c>
      <c r="K10" s="1" t="n">
        <f aca="false">K2/K4*100</f>
        <v>18.5880070900639</v>
      </c>
    </row>
    <row r="11" customFormat="false" ht="15" hidden="false" customHeight="false" outlineLevel="0" collapsed="false">
      <c r="A11" s="23" t="s">
        <v>47</v>
      </c>
      <c r="B11" s="1" t="n">
        <f aca="false">B7/(B4-B8)*100</f>
        <v>38.3139534883721</v>
      </c>
      <c r="C11" s="1" t="n">
        <f aca="false">C7/(C4-C8)*100</f>
        <v>35.7622663551402</v>
      </c>
      <c r="D11" s="1" t="n">
        <f aca="false">D7/(D4-D8)*100</f>
        <v>32.5698187163155</v>
      </c>
      <c r="E11" s="1" t="n">
        <f aca="false">E7/(E4-E8)*100</f>
        <v>31.8014089231801</v>
      </c>
      <c r="F11" s="1" t="n">
        <f aca="false">F7/(F4-F8)*100</f>
        <v>29.1288229842447</v>
      </c>
      <c r="G11" s="1" t="n">
        <f aca="false">G7/(G4-G8)*100</f>
        <v>30.0648946573029</v>
      </c>
      <c r="H11" s="1" t="n">
        <f aca="false">H7/(H4-H8)*100</f>
        <v>29.2467083962875</v>
      </c>
      <c r="I11" s="1" t="n">
        <f aca="false">I7/(I4-I8)*100</f>
        <v>25.8994674633069</v>
      </c>
      <c r="J11" s="1" t="n">
        <f aca="false">J7/(J4-J8)*100</f>
        <v>30.1366806136681</v>
      </c>
      <c r="K11" s="1" t="n">
        <f aca="false">K7/(K4-K8)*100</f>
        <v>31.7502240249021</v>
      </c>
    </row>
    <row r="12" customFormat="false" ht="15" hidden="false" customHeight="false" outlineLevel="0" collapsed="false">
      <c r="A12" s="23" t="s">
        <v>58</v>
      </c>
      <c r="B12" s="28" t="n">
        <v>418</v>
      </c>
      <c r="C12" s="28" t="n">
        <v>323</v>
      </c>
      <c r="D12" s="28" t="n">
        <v>560</v>
      </c>
      <c r="E12" s="28" t="n">
        <v>533</v>
      </c>
      <c r="F12" s="28" t="n">
        <v>1320</v>
      </c>
      <c r="G12" s="28" t="n">
        <v>1118</v>
      </c>
      <c r="H12" s="28" t="n">
        <v>1093</v>
      </c>
      <c r="I12" s="28" t="n">
        <v>1587</v>
      </c>
      <c r="J12" s="28" t="n">
        <v>1933</v>
      </c>
      <c r="K12" s="28" t="n">
        <v>2474</v>
      </c>
    </row>
    <row r="13" customFormat="false" ht="15" hidden="false" customHeight="false" outlineLevel="0" collapsed="false">
      <c r="A13" s="23" t="s">
        <v>59</v>
      </c>
      <c r="B13" s="5" t="n">
        <f aca="false">B12/B3</f>
        <v>0.0881484605651624</v>
      </c>
      <c r="C13" s="5" t="n">
        <f aca="false">C12/C3</f>
        <v>0.0495019157088123</v>
      </c>
      <c r="D13" s="5" t="n">
        <f aca="false">D12/D3</f>
        <v>0.0736454497632825</v>
      </c>
      <c r="E13" s="5" t="n">
        <f aca="false">E12/E3</f>
        <v>0.0633769322235434</v>
      </c>
      <c r="F13" s="5" t="n">
        <f aca="false">F12/F3</f>
        <v>0.139387539598733</v>
      </c>
      <c r="G13" s="5" t="n">
        <f aca="false">G12/G3</f>
        <v>0.110354357911361</v>
      </c>
      <c r="H13" s="5" t="n">
        <f aca="false">H12/H3</f>
        <v>0.0853506168983289</v>
      </c>
      <c r="I13" s="5" t="n">
        <f aca="false">I12/I3</f>
        <v>0.11490840634277</v>
      </c>
      <c r="J13" s="5" t="n">
        <f aca="false">J12/J3</f>
        <v>0.120872936468234</v>
      </c>
      <c r="K13" s="5" t="n">
        <f aca="false">K12/K3</f>
        <v>0.132094612632815</v>
      </c>
    </row>
    <row r="14" customFormat="false" ht="15" hidden="false" customHeight="false" outlineLevel="0" collapsed="false">
      <c r="A14" s="23" t="s">
        <v>49</v>
      </c>
      <c r="B14" s="1" t="n">
        <f aca="false">B7/B6</f>
        <v>47.0714285714286</v>
      </c>
      <c r="C14" s="1" t="n">
        <f aca="false">C7/C6</f>
        <v>49.9795918367347</v>
      </c>
      <c r="D14" s="1" t="n">
        <f aca="false">D7/D6</f>
        <v>71.8648648648649</v>
      </c>
      <c r="E14" s="1" t="n">
        <f aca="false">E7/E6</f>
        <v>69.3658536585366</v>
      </c>
      <c r="F14" s="1" t="n">
        <f aca="false">F7/F6</f>
        <v>28.5727272727273</v>
      </c>
      <c r="G14" s="1" t="n">
        <f aca="false">G7/G6</f>
        <v>33.156862745098</v>
      </c>
      <c r="H14" s="1" t="n">
        <f aca="false">H7/H6</f>
        <v>44.1847826086957</v>
      </c>
      <c r="I14" s="1" t="n">
        <f aca="false">I7/I6</f>
        <v>41.9789473684211</v>
      </c>
      <c r="J14" s="1" t="n">
        <f aca="false">J7/J6</f>
        <v>37.5138888888889</v>
      </c>
      <c r="K14" s="1" t="n">
        <f aca="false">K7/K6</f>
        <v>32.8390243902439</v>
      </c>
    </row>
    <row r="15" customFormat="false" ht="15" hidden="false" customHeight="false" outlineLevel="0" collapsed="false">
      <c r="A15" s="23" t="s">
        <v>32</v>
      </c>
      <c r="B15" s="30" t="n">
        <v>2243</v>
      </c>
      <c r="C15" s="26" t="n">
        <v>2725</v>
      </c>
      <c r="D15" s="26" t="n">
        <v>2994</v>
      </c>
      <c r="E15" s="26" t="n">
        <v>3204</v>
      </c>
      <c r="F15" s="26" t="n">
        <v>3765</v>
      </c>
      <c r="G15" s="26" t="n">
        <v>4162</v>
      </c>
      <c r="H15" s="26" t="n">
        <v>4856</v>
      </c>
      <c r="I15" s="26" t="n">
        <v>4804</v>
      </c>
      <c r="J15" s="26" t="n">
        <v>6260</v>
      </c>
      <c r="K15" s="26" t="n">
        <v>7585</v>
      </c>
    </row>
    <row r="16" customFormat="false" ht="15" hidden="false" customHeight="false" outlineLevel="0" collapsed="false">
      <c r="A16" s="23" t="s">
        <v>28</v>
      </c>
      <c r="B16" s="26" t="n">
        <v>13615</v>
      </c>
      <c r="C16" s="26" t="n">
        <v>14271</v>
      </c>
      <c r="D16" s="26" t="n">
        <v>15062</v>
      </c>
      <c r="E16" s="26" t="n">
        <v>16825</v>
      </c>
      <c r="F16" s="26" t="n">
        <v>19240</v>
      </c>
      <c r="G16" s="26" t="n">
        <v>20211</v>
      </c>
      <c r="H16" s="26" t="n">
        <v>21713</v>
      </c>
      <c r="I16" s="26" t="n">
        <v>29101</v>
      </c>
      <c r="J16" s="26" t="n">
        <v>34389</v>
      </c>
      <c r="K16" s="26" t="n">
        <v>35495</v>
      </c>
    </row>
    <row r="17" customFormat="false" ht="15" hidden="false" customHeight="false" outlineLevel="0" collapsed="false">
      <c r="A17" s="23" t="s">
        <v>50</v>
      </c>
      <c r="B17" s="5" t="n">
        <f aca="false">B15/B16*100</f>
        <v>16.4744766801322</v>
      </c>
      <c r="C17" s="5" t="n">
        <f aca="false">C15/C16*100</f>
        <v>19.0946675075328</v>
      </c>
      <c r="D17" s="5" t="n">
        <f aca="false">D15/D16*100</f>
        <v>19.8778382684902</v>
      </c>
      <c r="E17" s="5" t="n">
        <f aca="false">E15/E16*100</f>
        <v>19.0430906389302</v>
      </c>
      <c r="F17" s="5" t="n">
        <f aca="false">F15/F16*100</f>
        <v>19.5686070686071</v>
      </c>
      <c r="G17" s="5" t="n">
        <f aca="false">G15/G16*100</f>
        <v>20.59274652417</v>
      </c>
      <c r="H17" s="5" t="n">
        <f aca="false">H15/H16*100</f>
        <v>22.3644821074932</v>
      </c>
      <c r="I17" s="5" t="n">
        <f aca="false">I15/I16*100</f>
        <v>16.5080237792516</v>
      </c>
      <c r="J17" s="5" t="n">
        <f aca="false">J15/J16*100</f>
        <v>18.2034953037308</v>
      </c>
      <c r="K17" s="5" t="n">
        <f aca="false">K15/K16*100</f>
        <v>21.3692069305536</v>
      </c>
    </row>
    <row r="18" customFormat="false" ht="15" hidden="false" customHeight="false" outlineLevel="0" collapsed="false">
      <c r="A18" s="23" t="s">
        <v>51</v>
      </c>
      <c r="B18" s="5" t="n">
        <f aca="false">B2/B16*100</f>
        <v>10.481087036357</v>
      </c>
      <c r="C18" s="5" t="n">
        <f aca="false">C2/C16*100</f>
        <v>12.6340130334244</v>
      </c>
      <c r="D18" s="5" t="n">
        <f aca="false">D2/D16*100</f>
        <v>13.384676669765</v>
      </c>
      <c r="E18" s="5" t="n">
        <f aca="false">E2/E16*100</f>
        <v>12.4695393759287</v>
      </c>
      <c r="F18" s="5" t="n">
        <f aca="false">F2/F16*100</f>
        <v>11.4760914760915</v>
      </c>
      <c r="G18" s="5" t="n">
        <f aca="false">G2/G16*100</f>
        <v>13.7251991489783</v>
      </c>
      <c r="H18" s="5" t="n">
        <f aca="false">H2/H16*100</f>
        <v>14.7699534840879</v>
      </c>
      <c r="I18" s="5" t="n">
        <f aca="false">I2/I16*100</f>
        <v>10.601010274561</v>
      </c>
      <c r="J18" s="5" t="n">
        <f aca="false">J2/J16*100</f>
        <v>12.1986681787781</v>
      </c>
      <c r="K18" s="5" t="n">
        <f aca="false">K2/K16*100</f>
        <v>15.6585434568249</v>
      </c>
    </row>
    <row r="19" customFormat="false" ht="300" hidden="false" customHeight="true" outlineLevel="0" collapsed="false">
      <c r="A19" s="1"/>
      <c r="B19" s="1"/>
      <c r="C19" s="1"/>
      <c r="D19" s="33" t="s">
        <v>60</v>
      </c>
      <c r="E19" s="1"/>
      <c r="F19" s="1"/>
      <c r="G19" s="1"/>
      <c r="H19" s="1"/>
      <c r="I19" s="1"/>
      <c r="J19" s="1"/>
      <c r="K1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.29"/>
  </cols>
  <sheetData>
    <row r="1" customFormat="false" ht="15" hidden="false" customHeight="false" outlineLevel="0" collapsed="false">
      <c r="A1" s="7"/>
      <c r="B1" s="34" t="s">
        <v>13</v>
      </c>
      <c r="C1" s="34" t="s">
        <v>14</v>
      </c>
      <c r="D1" s="34" t="s">
        <v>15</v>
      </c>
      <c r="E1" s="34" t="s">
        <v>16</v>
      </c>
      <c r="F1" s="34" t="s">
        <v>17</v>
      </c>
      <c r="G1" s="34" t="s">
        <v>18</v>
      </c>
      <c r="H1" s="34" t="s">
        <v>19</v>
      </c>
      <c r="I1" s="34" t="s">
        <v>20</v>
      </c>
      <c r="J1" s="34" t="s">
        <v>21</v>
      </c>
      <c r="K1" s="34" t="s">
        <v>22</v>
      </c>
    </row>
    <row r="2" customFormat="false" ht="15" hidden="false" customHeight="false" outlineLevel="0" collapsed="false">
      <c r="A2" s="9" t="s">
        <v>61</v>
      </c>
      <c r="B2" s="10" t="n">
        <v>1188</v>
      </c>
      <c r="C2" s="10" t="n">
        <v>2243</v>
      </c>
      <c r="D2" s="10" t="n">
        <v>1527</v>
      </c>
      <c r="E2" s="10" t="n">
        <v>2113</v>
      </c>
      <c r="F2" s="10" t="n">
        <v>2470</v>
      </c>
      <c r="G2" s="10" t="n">
        <v>3038</v>
      </c>
      <c r="H2" s="10" t="n">
        <v>3683</v>
      </c>
      <c r="I2" s="10" t="n">
        <v>986</v>
      </c>
      <c r="J2" s="10" t="n">
        <v>4193</v>
      </c>
      <c r="K2" s="10" t="n">
        <v>6104</v>
      </c>
    </row>
    <row r="3" customFormat="false" ht="15" hidden="false" customHeight="false" outlineLevel="0" collapsed="false">
      <c r="A3" s="35" t="s">
        <v>62</v>
      </c>
      <c r="B3" s="36" t="n">
        <v>-465</v>
      </c>
      <c r="C3" s="36" t="n">
        <v>-866</v>
      </c>
      <c r="D3" s="36" t="n">
        <v>-681</v>
      </c>
      <c r="E3" s="36" t="n">
        <v>-1556</v>
      </c>
      <c r="F3" s="36" t="n">
        <v>-918</v>
      </c>
      <c r="G3" s="36" t="n">
        <v>-518</v>
      </c>
      <c r="H3" s="36" t="n">
        <v>-541</v>
      </c>
      <c r="I3" s="36" t="n">
        <v>-317</v>
      </c>
      <c r="J3" s="36" t="n">
        <v>-1282</v>
      </c>
      <c r="K3" s="36" t="n">
        <v>-2548</v>
      </c>
    </row>
    <row r="4" customFormat="false" ht="15" hidden="false" customHeight="false" outlineLevel="0" collapsed="false">
      <c r="A4" s="35" t="s">
        <v>63</v>
      </c>
      <c r="B4" s="36" t="n">
        <v>-576</v>
      </c>
      <c r="C4" s="36" t="n">
        <v>-849</v>
      </c>
      <c r="D4" s="36" t="n">
        <v>-756</v>
      </c>
      <c r="E4" s="36" t="n">
        <v>-1379</v>
      </c>
      <c r="F4" s="36" t="n">
        <v>-1117</v>
      </c>
      <c r="G4" s="36" t="n">
        <v>-2871</v>
      </c>
      <c r="H4" s="36" t="n">
        <v>-650</v>
      </c>
      <c r="I4" s="36" t="n">
        <v>-1808</v>
      </c>
      <c r="J4" s="36" t="n">
        <v>-2140</v>
      </c>
      <c r="K4" s="36" t="n">
        <v>-2982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2026-06-29T05:28:40Z</dcterms:created>
  <dc:creator>HP</dc:creator>
  <dc:description/>
  <dc:language>en-US</dc:language>
  <cp:lastModifiedBy>HP</cp:lastModifiedBy>
  <dcterms:modified xsi:type="dcterms:W3CDTF">2026-08-12T04:10:02Z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